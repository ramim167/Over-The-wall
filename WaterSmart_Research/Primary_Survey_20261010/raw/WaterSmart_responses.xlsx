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Over the wall\"/>
    </mc:Choice>
  </mc:AlternateContent>
  <xr:revisionPtr revIDLastSave="0" documentId="13_ncr:1_{CA453DCC-5972-4ECD-A1F2-EE66A7B174A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mmary" sheetId="1" r:id="rId1"/>
    <sheet name="Form Responses 1" sheetId="2" r:id="rId2"/>
    <sheet name="Q11 কোডিং" sheetId="3" r:id="rId3"/>
    <sheet name="Simulation key" sheetId="4" r:id="rId4"/>
  </sheets>
  <definedNames>
    <definedName name="_xlnm._FilterDatabase" localSheetId="1" hidden="1">'Form Responses 1'!$A$1:$AA$51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0" i="1" l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0" i="1"/>
  <c r="C150" i="1" s="1"/>
  <c r="B149" i="1"/>
  <c r="C149" i="1" s="1"/>
  <c r="B148" i="1"/>
  <c r="C148" i="1" s="1"/>
  <c r="B147" i="1"/>
  <c r="C147" i="1" s="1"/>
  <c r="B142" i="1"/>
  <c r="C142" i="1" s="1"/>
  <c r="B141" i="1"/>
  <c r="C141" i="1" s="1"/>
  <c r="B140" i="1"/>
  <c r="C140" i="1" s="1"/>
  <c r="B139" i="1"/>
  <c r="C139" i="1" s="1"/>
  <c r="B138" i="1"/>
  <c r="C138" i="1" s="1"/>
  <c r="B135" i="1"/>
  <c r="C135" i="1" s="1"/>
  <c r="B134" i="1"/>
  <c r="C134" i="1" s="1"/>
  <c r="B133" i="1"/>
  <c r="C133" i="1" s="1"/>
  <c r="B132" i="1"/>
  <c r="C132" i="1" s="1"/>
  <c r="B129" i="1"/>
  <c r="C129" i="1" s="1"/>
  <c r="B128" i="1"/>
  <c r="C128" i="1" s="1"/>
  <c r="B127" i="1"/>
  <c r="C127" i="1" s="1"/>
  <c r="B126" i="1"/>
  <c r="C126" i="1" s="1"/>
  <c r="B125" i="1"/>
  <c r="C125" i="1" s="1"/>
  <c r="B122" i="1"/>
  <c r="C122" i="1" s="1"/>
  <c r="B121" i="1"/>
  <c r="C121" i="1" s="1"/>
  <c r="B120" i="1"/>
  <c r="C120" i="1" s="1"/>
  <c r="B119" i="1"/>
  <c r="C119" i="1" s="1"/>
  <c r="B118" i="1"/>
  <c r="C118" i="1" s="1"/>
  <c r="B115" i="1"/>
  <c r="C115" i="1" s="1"/>
  <c r="B114" i="1"/>
  <c r="C114" i="1" s="1"/>
  <c r="B113" i="1"/>
  <c r="C113" i="1" s="1"/>
  <c r="B112" i="1"/>
  <c r="C112" i="1" s="1"/>
  <c r="B111" i="1"/>
  <c r="C111" i="1" s="1"/>
  <c r="B108" i="1"/>
  <c r="C108" i="1" s="1"/>
  <c r="B107" i="1"/>
  <c r="C107" i="1" s="1"/>
  <c r="B106" i="1"/>
  <c r="C106" i="1" s="1"/>
  <c r="B105" i="1"/>
  <c r="C105" i="1" s="1"/>
  <c r="B104" i="1"/>
  <c r="C104" i="1" s="1"/>
  <c r="B99" i="1"/>
  <c r="C99" i="1" s="1"/>
  <c r="B98" i="1"/>
  <c r="C98" i="1" s="1"/>
  <c r="B97" i="1"/>
  <c r="C97" i="1" s="1"/>
  <c r="B96" i="1"/>
  <c r="C96" i="1" s="1"/>
  <c r="B95" i="1"/>
  <c r="C95" i="1" s="1"/>
  <c r="B90" i="1"/>
  <c r="C90" i="1" s="1"/>
  <c r="B89" i="1"/>
  <c r="C89" i="1" s="1"/>
  <c r="B88" i="1"/>
  <c r="C88" i="1" s="1"/>
  <c r="B87" i="1"/>
  <c r="C87" i="1" s="1"/>
  <c r="B86" i="1"/>
  <c r="C86" i="1" s="1"/>
  <c r="B83" i="1"/>
  <c r="C83" i="1" s="1"/>
  <c r="B82" i="1"/>
  <c r="C82" i="1" s="1"/>
  <c r="B81" i="1"/>
  <c r="C81" i="1" s="1"/>
  <c r="B80" i="1"/>
  <c r="C80" i="1" s="1"/>
  <c r="B79" i="1"/>
  <c r="C79" i="1" s="1"/>
  <c r="B76" i="1"/>
  <c r="C76" i="1" s="1"/>
  <c r="B75" i="1"/>
  <c r="C75" i="1" s="1"/>
  <c r="B74" i="1"/>
  <c r="C74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38" i="1"/>
  <c r="C38" i="1" s="1"/>
  <c r="B37" i="1"/>
  <c r="C37" i="1" s="1"/>
  <c r="B36" i="1"/>
  <c r="C36" i="1" s="1"/>
  <c r="B35" i="1"/>
  <c r="C35" i="1" s="1"/>
  <c r="B32" i="1"/>
  <c r="C32" i="1" s="1"/>
  <c r="B31" i="1"/>
  <c r="C31" i="1" s="1"/>
  <c r="B30" i="1"/>
  <c r="C30" i="1" s="1"/>
  <c r="B29" i="1"/>
  <c r="C29" i="1" s="1"/>
  <c r="B26" i="1"/>
  <c r="C26" i="1" s="1"/>
  <c r="B25" i="1"/>
  <c r="C25" i="1" s="1"/>
  <c r="B24" i="1"/>
  <c r="C24" i="1" s="1"/>
  <c r="B23" i="1"/>
  <c r="C23" i="1" s="1"/>
  <c r="B22" i="1"/>
  <c r="C22" i="1" s="1"/>
  <c r="B18" i="1"/>
  <c r="B17" i="1"/>
  <c r="B16" i="1"/>
  <c r="B15" i="1"/>
  <c r="B14" i="1"/>
  <c r="B13" i="1"/>
  <c r="B12" i="1"/>
  <c r="B10" i="1"/>
  <c r="B8" i="1"/>
  <c r="B7" i="1"/>
  <c r="B19" i="1" s="1"/>
  <c r="B6" i="1"/>
  <c r="B5" i="1"/>
  <c r="B39" i="1" l="1"/>
  <c r="C39" i="1" s="1"/>
  <c r="B9" i="1"/>
  <c r="B70" i="1"/>
  <c r="C70" i="1" s="1"/>
  <c r="B143" i="1"/>
  <c r="C143" i="1" s="1"/>
  <c r="B11" i="1"/>
  <c r="B161" i="1"/>
  <c r="C1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200-000001000000}">
      <text>
        <r>
          <rPr>
            <sz val="10"/>
            <rFont val="Arial"/>
            <family val="2"/>
          </rPr>
          <t>Manual coding: '</t>
        </r>
        <r>
          <rPr>
            <sz val="10"/>
            <rFont val="FreeSans"/>
            <family val="2"/>
          </rPr>
          <t>হ্যাঁ</t>
        </r>
        <r>
          <rPr>
            <sz val="10"/>
            <rFont val="Arial"/>
            <family val="2"/>
          </rPr>
          <t>' if the answer names water/iron/salinity/tank on its own. Q11 description gave no water example, so these mentions are unprompted.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300-000001000000}">
      <text>
        <r>
          <rPr>
            <sz val="10"/>
            <rFont val="FreeSans"/>
            <family val="2"/>
          </rPr>
          <t xml:space="preserve">ফর্মে শুধু বয়সের সীমা </t>
        </r>
        <r>
          <rPr>
            <sz val="10"/>
            <rFont val="Arial"/>
            <family val="2"/>
          </rPr>
          <t xml:space="preserve">(Q2) </t>
        </r>
        <r>
          <rPr>
            <sz val="10"/>
            <rFont val="FreeSans"/>
            <family val="2"/>
          </rPr>
          <t>জিজ্ঞেস করা হয়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আসল বয়স না। এই কলামটা শুধু </t>
        </r>
        <r>
          <rPr>
            <sz val="10"/>
            <rFont val="Arial"/>
            <family val="2"/>
          </rPr>
          <t xml:space="preserve">simulation </t>
        </r>
        <r>
          <rPr>
            <sz val="10"/>
            <rFont val="FreeSans"/>
            <family val="2"/>
          </rPr>
          <t>যাচাই করার জন্য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৩০–৪৬ বছরের মানুষরা </t>
        </r>
        <r>
          <rPr>
            <sz val="10"/>
            <rFont val="Arial"/>
            <family val="2"/>
          </rPr>
          <t>Q2-</t>
        </r>
        <r>
          <rPr>
            <sz val="10"/>
            <rFont val="FreeSans"/>
            <family val="2"/>
          </rPr>
          <t>তে ২৫–৩৪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>৩৫–৪৪ বা ৪৫–৫৪ হিসেবে দেখা যান।</t>
        </r>
      </text>
    </comment>
  </commentList>
</comments>
</file>

<file path=xl/sharedStrings.xml><?xml version="1.0" encoding="utf-8"?>
<sst xmlns="http://schemas.openxmlformats.org/spreadsheetml/2006/main" count="1343" uniqueCount="355">
  <si>
    <t>মূল সূচক</t>
  </si>
  <si>
    <t>মোট submission</t>
  </si>
  <si>
    <t>সম্মতি দেননি (Q1 = না → submit)</t>
  </si>
  <si>
    <t>সম্মতি দিয়েছেন (base)</t>
  </si>
  <si>
    <t>৩০–৪৬ বছর বয়সী (Simulation key শিট থেকে)</t>
  </si>
  <si>
    <t>Q17 আকর্ষণীয় (4–5)</t>
  </si>
  <si>
    <t>Q18 আলাদা মনে হয় (4–5)</t>
  </si>
  <si>
    <t>Q19 কিনে দেখতাম (অবশ্যই + সম্ভবত)</t>
  </si>
  <si>
    <t>Q21 ৳360-এ কিনে দেখতাম (অবশ্যই + সম্ভবত)</t>
  </si>
  <si>
    <t>Q20 সর্বোচ্চ দাম — উত্তর দিয়েছেন (n)</t>
  </si>
  <si>
    <t>Q20 সর্বোচ্চ দাম — median (৳)</t>
  </si>
  <si>
    <t>Q20 সর্বোচ্চ দাম — গড় (৳)</t>
  </si>
  <si>
    <t>Q20 ≥ ৳360 বলেছেন (উত্তরদাতাদের %)</t>
  </si>
  <si>
    <t>Q8 সর্বশেষ প্যাকেটের দাম — median (৳)</t>
  </si>
  <si>
    <t>Q11 লিখেছেন (n)</t>
  </si>
  <si>
    <t>Q11-এ নিজে থেকে পানি উল্লেখ (সব উত্তরদাতার %)</t>
  </si>
  <si>
    <t>Q2. বয়সের সীমা</t>
  </si>
  <si>
    <t>সংখ্যা</t>
  </si>
  <si>
    <t>%</t>
  </si>
  <si>
    <t>১৮–২৪</t>
  </si>
  <si>
    <t>২৫–৩৪</t>
  </si>
  <si>
    <t>৩৫–৪৪</t>
  </si>
  <si>
    <t>৪৫–৫৪</t>
  </si>
  <si>
    <t>৫৫ বা বেশি</t>
  </si>
  <si>
    <t>Q3. লিঙ্গ পরিচয় (optional — ফাঁকাও আছে)</t>
  </si>
  <si>
    <t>নারী</t>
  </si>
  <si>
    <t>পুরুষ</t>
  </si>
  <si>
    <t>অন্য পরিচয়</t>
  </si>
  <si>
    <t>বলতে চাই না</t>
  </si>
  <si>
    <t>Q4. থাকার ব্যবস্থা</t>
  </si>
  <si>
    <t>শিক্ষার্থী হিসেবে হোস্টেল বা মেসে থাকি</t>
  </si>
  <si>
    <t>শিক্ষার্থী নই; মেস বা ভাগাভাগি বাসায় থাকি</t>
  </si>
  <si>
    <t>পরিবারের সঙ্গে বাসায় থাকি</t>
  </si>
  <si>
    <t>একা বা নিজের সংসার নিয়ে আলাদা বাসায় থাকি</t>
  </si>
  <si>
    <t>অন্য (নিজে লেখা)</t>
  </si>
  <si>
    <t>অন্য-তে লেখা: “কোম্পানির দেওয়া ডরমিটরিতে থাকি”</t>
  </si>
  <si>
    <t>Q9. সপ্তাহে কতবার শ্যাম্পু</t>
  </si>
  <si>
    <t>শ্যাম্পু ব্যবহার করি না</t>
  </si>
  <si>
    <t>সপ্তাহে একবারের কম</t>
  </si>
  <si>
    <t>১ বার</t>
  </si>
  <si>
    <t>২–৩ বার</t>
  </si>
  <si>
    <t>৪–৫ বার</t>
  </si>
  <si>
    <t>৬ বার বা বেশি</t>
  </si>
  <si>
    <t>Q10. গত ৩ মাসের অভিজ্ঞতা (checkbox)</t>
  </si>
  <si>
    <t>চুল রুক্ষ বা শুষ্ক লাগা</t>
  </si>
  <si>
    <t>চুলে জট পড়া</t>
  </si>
  <si>
    <t>শ্যাম্পুতে কম ফেনা হওয়া</t>
  </si>
  <si>
    <t>চুল ধোয়ার পরও জমাট বা অবশিষ্ট কিছু থাকার অনুভূতি</t>
  </si>
  <si>
    <t>চুল ভেঙে যাওয়া</t>
  </si>
  <si>
    <t>স্বাভাবিকের চেয়ে বেশি চুল পড়ছে বলে মনে হওয়া</t>
  </si>
  <si>
    <t>খুশকি বা মাথার ত্বকে চুলকানি</t>
  </si>
  <si>
    <t>কোনোটিই নয়</t>
  </si>
  <si>
    <t>অন্য-তে লেখা: “মাথার ত্বক তৈলাক্ত হয়ে যায়”</t>
  </si>
  <si>
    <t>একাধিক উত্তর দেওয়া যায়, তাই % যোগ করলে 100% এর বেশি হবে।</t>
  </si>
  <si>
    <t>Q12. পানির প্রধান উৎস</t>
  </si>
  <si>
    <t>ওয়াসা বা পৌরসভার সরবরাহ করা পানি</t>
  </si>
  <si>
    <t>গভীর নলকূপ</t>
  </si>
  <si>
    <t>অগভীর নলকূপ</t>
  </si>
  <si>
    <t>পুকুর বা নদী</t>
  </si>
  <si>
    <t>বৃষ্টির পানি</t>
  </si>
  <si>
    <t>কিনে আনা পানি বা ট্যাংকারের পানি</t>
  </si>
  <si>
    <t>জানি না</t>
  </si>
  <si>
    <t>অন্য-তে লেখা: “মেসের ট্যাংকির পানি, কোথা থেকে আসে জানি না”; “বাড়িওয়ালার মোটরের পানি”</t>
  </si>
  <si>
    <t>Q13. গত ১২ মাসে পানির উৎস বদলেছে?</t>
  </si>
  <si>
    <t>হ্যাঁ</t>
  </si>
  <si>
    <t>না</t>
  </si>
  <si>
    <t>মনে নেই বা নিশ্চিত নই</t>
  </si>
  <si>
    <t>Q14. পানি বদলের পর অভিজ্ঞতা</t>
  </si>
  <si>
    <t>আগের চেয়ে সমস্যা বেশি মনে হয়েছে</t>
  </si>
  <si>
    <t>আগের চেয়ে সমস্যা কম মনে হয়েছে</t>
  </si>
  <si>
    <t>তেমন পার্থক্য হয়নি</t>
  </si>
  <si>
    <t>বুঝতে পারিনি</t>
  </si>
  <si>
    <t>প্রযোজ্য নয়—পানি বদলায়নি</t>
  </si>
  <si>
    <t>Q15. পানি/বাথরুমে আগে খেয়াল করেছেন (checkbox)</t>
  </si>
  <si>
    <t>বালতি, বেসিন বা বাথরুমে হলুদ/কমলা/বাদামি দাগ</t>
  </si>
  <si>
    <t>কল বা পাত্রে সাদা জমাট দাগ</t>
  </si>
  <si>
    <t>ব্যবহৃত পানি নোনতা বলে আগে থেকেই মনে হয়েছে</t>
  </si>
  <si>
    <t>খেয়াল করিনি বা জানি না</t>
  </si>
  <si>
    <t>অন্য-তে লেখা: “পানিতে লোহার মত গন্ধ”</t>
  </si>
  <si>
    <t>Q16. ইতিমধ্যে নেওয়া ব্যবস্থা (checkbox)</t>
  </si>
  <si>
    <t>শ্যাম্পুর ব্র্যান্ড বা ভ্যারিয়েন্ট বদলেছি</t>
  </si>
  <si>
    <t>তেল বা ঘরোয়া যত্ন ব্যবহার করেছি</t>
  </si>
  <si>
    <t>ফিল্টার করা বা কিনে আনা পানি ব্যবহার করেছি</t>
  </si>
  <si>
    <t>চিকিৎসক বা অন্য বিশেষজ্ঞের পরামর্শ নিয়েছি</t>
  </si>
  <si>
    <t>কোনো ব্যবস্থা নিইনি</t>
  </si>
  <si>
    <t>অন্য-তে লেখা: “মেথি বাটা লাগিয়েছি”; “হেয়ার সিরাম”</t>
  </si>
  <si>
    <t>Q17. ধারণা কতটা আকর্ষণীয় (1–5)</t>
  </si>
  <si>
    <t>Q18. কতটা আলাদা (1–5)</t>
  </si>
  <si>
    <t>Q19. কিনে দেখার আগ্রহ (দাম ছাড়া)</t>
  </si>
  <si>
    <t>অবশ্যই কিনে দেখতাম</t>
  </si>
  <si>
    <t>সম্ভবত কিনে দেখতাম</t>
  </si>
  <si>
    <t>এখনো সিদ্ধান্ত নিতে পারছি না</t>
  </si>
  <si>
    <t>সম্ভবত কিনতাম না</t>
  </si>
  <si>
    <t>একেবারেই কিনতাম না</t>
  </si>
  <si>
    <t>Q21. ৳360 হলে কিনে দেখার আগ্রহ</t>
  </si>
  <si>
    <t>Q22. প্রথমবার কোন প্যাকেট</t>
  </si>
  <si>
    <t>6 ml স্যাশে — 3 টাকা</t>
  </si>
  <si>
    <t>180 ml বোতল — 180 টাকা</t>
  </si>
  <si>
    <t>340 ml বোতল, ঢাকনায় hardness strip-সহ — 360 টাকা</t>
  </si>
  <si>
    <t>কোনোটিই কিনতাম না</t>
  </si>
  <si>
    <t>Q23. সবচেয়ে মূল্যবান দিক</t>
  </si>
  <si>
    <t>চুলে পানির খনিজ জমা পরিষ্কার করার উদ্দেশ্যে তৈরি ফর্মুলা</t>
  </si>
  <si>
    <t>ঢাকনায় hardness test strip</t>
  </si>
  <si>
    <t>QR code-এ আঞ্চলিক পানির তথ্য</t>
  </si>
  <si>
    <t>কম টাকা খরচ করে স্যাশে দিয়ে চেষ্টা করার সুযোগ</t>
  </si>
  <si>
    <t>কোনোটিই বিশেষ মূল্যবান মনে হচ্ছে না</t>
  </si>
  <si>
    <t>অন্য-তে লেখা: “দেশি কোম্পানির পণ্য হওয়া”</t>
  </si>
  <si>
    <t>Q24. A (৳330, strip নেই) বনাম B (৳360, strip আছে)</t>
  </si>
  <si>
    <t>A: সাধারণ ঢাকনা, test strip নেই — 330 টাকা</t>
  </si>
  <si>
    <t>B: ঢাকনায় hardness test strip আছে — 360 টাকা</t>
  </si>
  <si>
    <t>দুটির মধ্যে বিশেষ পছন্দ নেই</t>
  </si>
  <si>
    <t>Q25. সবচেয়ে বড় সংশয়</t>
  </si>
  <si>
    <t>ফর্মুলাটি বাস্তবে কাজ করবে কি না</t>
  </si>
  <si>
    <t>আমার চুল বা মাথার ত্বকের সঙ্গে মানাবে কি না</t>
  </si>
  <si>
    <t>দাম উপযুক্ত কি না</t>
  </si>
  <si>
    <t>Strip ব্যবহার করা সহজ হবে কি না</t>
  </si>
  <si>
    <t>Strip-এর ফল কতটা নির্ভরযোগ্য</t>
  </si>
  <si>
    <t>দোকানে পাওয়া যাবে কি না</t>
  </si>
  <si>
    <t>বর্তমান শ্যাম্পু বদলানোর যথেষ্ট কারণ আছে কি না</t>
  </si>
  <si>
    <t>বিশেষ কোনো সংশয় নেই</t>
  </si>
  <si>
    <t>অন্য-তে লেখা: “বাচ্চাদের জন্য নিরাপদ কিনা”</t>
  </si>
  <si>
    <t>Timestamp</t>
  </si>
  <si>
    <t>Q1. আপনার বয়স কি ১৮ বছর বা বেশি এবং আপনি স্বেচ্ছায় অংশগ্রহণ ও পরিচয় প্রকাশ না করে গবেষণা/প্রেজেন্টেশনে উত্তর ব্যবহারে সম্মতি দিচ্ছেন?</t>
  </si>
  <si>
    <t>Q2. আপনার বয়সের সীমা কোনটি?</t>
  </si>
  <si>
    <t>Q3. আপনার লিঙ্গ পরিচয় কী?</t>
  </si>
  <si>
    <t>Q4. বর্তমানে আপনার থাকার ব্যবস্থা কোনটি?</t>
  </si>
  <si>
    <t>Q5. বর্তমানে কোন জেলা ও উপজেলা/শহরে থাকেন?</t>
  </si>
  <si>
    <t>Q6. বর্তমানে সবচেয়ে বেশি কোন ব্র্যান্ড ও ভ্যারিয়েন্টের শ্যাম্পু ব্যবহার করেন?</t>
  </si>
  <si>
    <t>Q7. সর্বশেষ কেনা শ্যাম্পুর প্যাকেটে কত মিলিলিটার ছিল?</t>
  </si>
  <si>
    <t>Q8. ওই একই প্যাকেটটির জন্য বাস্তবে কত টাকা দিয়েছিলেন?</t>
  </si>
  <si>
    <t>Q9. সাধারণত সপ্তাহে কতবার শ্যাম্পু দিয়ে চুল ধোন?</t>
  </si>
  <si>
    <t>Q10. গত তিন মাসে চুল বা চুল ধোয়া নিয়ে নিচের কোন অভিজ্ঞতাগুলো হয়েছে?</t>
  </si>
  <si>
    <t>Q11. এসব সমস্যার কারণ কী হতে পারে বলে আপনার মনে হয়?</t>
  </si>
  <si>
    <t>Q12. চুল ধোয়ার জন্য প্রধানত কোন উৎসের পানি ব্যবহার করেন?</t>
  </si>
  <si>
    <t>Q13. গত ১২ মাসে বাসা বদল বা অন্য কারণে চুল ধোয়ার পানির উৎস কি বদলেছে?</t>
  </si>
  <si>
    <t>Q14. পানি বদলে থাকলে, এরপর চুল বা চুল ধোয়ার অভিজ্ঞতা কেমন হয়েছে?</t>
  </si>
  <si>
    <t>Q15. আপনার ব্যবহৃত পানি বা বাথরুমে নিচের কোনটি আগে থেকে খেয়াল করেছেন?</t>
  </si>
  <si>
    <t>Q16. চুল বা চুল ধোয়ার সমস্যা সামলাতে ইতিমধ্যে কী কী করেছেন?</t>
  </si>
  <si>
    <t>Q17. ধারণাটি আপনার কাছে কতটা আকর্ষণীয়?</t>
  </si>
  <si>
    <t>Q18. বর্তমানে আপনার জানা শ্যাম্পুগুলোর তুলনায় ধারণাটি কতটা আলাদা মনে হচ্ছে?</t>
  </si>
  <si>
    <t>Q19. এই ধারণার ভিত্তিতে পণ্যটি কিনে দেখার বিষয়ে আপনার আগ্রহ কোনটির কাছাকাছি?</t>
  </si>
  <si>
    <t>Q20. বর্ণিত সুবিধাসহ 340 ml বোতলের জন্য সর্বোচ্চ কত টাকা দিতে স্বচ্ছন্দ হতেন?</t>
  </si>
  <si>
    <t>Q21. বর্ণিত সুবিধাসহ 340 ml বোতলের দাম 360 টাকা হলে আপনি কিনে দেখতে কতটা আগ্রহী হতেন?</t>
  </si>
  <si>
    <t>Q22. প্রথমবার চেষ্টা করার জন্য কোন প্যাকেটটি বেছে নিতেন?</t>
  </si>
  <si>
    <t>Q23. ধারণাটির কোন একটি দিক আপনার কাছে সবচেয়ে মূল্যবান?</t>
  </si>
  <si>
    <t>Q24. একই ফর্মুলার 340 ml বোতলের এই কাল্পনিক দুটি বিকল্পের মধ্যে কোনটি বেছে নিতেন?</t>
  </si>
  <si>
    <t>Q25. কেনার আগে আপনার সবচেয়ে বড় প্রশ্ন বা সংশয় কোনটি হবে?</t>
  </si>
  <si>
    <t>Q26. ধারণাটির ভালো লাগা, সন্দেহ বা একটি পরিবর্তনের পরামর্শ নিজের ভাষায় লিখুন।</t>
  </si>
  <si>
    <t>হ্যাঁ, বয়স ১৮ বছর বা বেশি এবং আমি রাজি</t>
  </si>
  <si>
    <t>ঢাকা, শাহবাগ</t>
  </si>
  <si>
    <t>Sunsilk Black Shine</t>
  </si>
  <si>
    <t>চুল রুক্ষ বা শুষ্ক লাগা, চুলে জট পড়া, স্বাভাবিকের চেয়ে বেশি চুল পড়ছে বলে মনে হওয়া</t>
  </si>
  <si>
    <t>হলের পানিতে মনে হয় সমস্যা আছে, বাসায় থাকতে এত চুল পড়ত না।</t>
  </si>
  <si>
    <t>শ্যাম্পুর ব্র্যান্ড বা ভ্যারিয়েন্ট বদলেছি, তেল বা ঘরোয়া যত্ন ব্যবহার করেছি</t>
  </si>
  <si>
    <t>হলের মেয়েদের জন্য খুব দরকারি জিনিস। স্যাশেতেও যদি এই ফর্মুলা পাওয়া যায় তাহলে আগে ট্রাই করে দেখা যাবে।</t>
  </si>
  <si>
    <t>Rajshahi, Motihar</t>
  </si>
  <si>
    <t>Clear men cool sport menthol</t>
  </si>
  <si>
    <t>চুল রুক্ষ বা শুষ্ক লাগা, চুল ধোয়ার পরও জমাট বা অবশিষ্ট কিছু থাকার অনুভূতি, খুশকি বা মাথার ত্বকে চুলকানি</t>
  </si>
  <si>
    <t>রাজশাহীর পানি খর, বালতিতে সাদা দাগ পড়ে যায়। চুলেও মনে হয় ওইটাই জমে।</t>
  </si>
  <si>
    <t>strip টা ভালো আইডিয়া, তবে একবার ব্যবহার করলে শেষ নাকি বারবার করা যাবে সেটা পরিষ্কার না। একাধিক strip দিলে ভালো হয়।</t>
  </si>
  <si>
    <t>চট্টগ্রাম, পাঁচলাইশ</t>
  </si>
  <si>
    <t>Dove hair fall rescue</t>
  </si>
  <si>
    <t>চুল ভেঙে যাওয়া, স্বাভাবিকের চেয়ে বেশি চুল পড়ছে বলে মনে হওয়া</t>
  </si>
  <si>
    <t>ডেলিভারির পর থেকে চুল পড়া বেড়েছে, হরমোনের কারণে হতে পারে।</t>
  </si>
  <si>
    <t>শ্যাম্পুর ব্র্যান্ড বা ভ্যারিয়েন্ট বদলেছি, তেল বা ঘরোয়া যত্ন ব্যবহার করেছি, চিকিৎসক বা অন্য বিশেষজ্ঞের পরামর্শ নিয়েছি</t>
  </si>
  <si>
    <t>আমার সমস্যা পানির কারণে কিনা নিশ্চিত না। আগে বুঝতে চাই কাদের জন্য এটা।</t>
  </si>
  <si>
    <t>Khulna, Batiaghata</t>
  </si>
  <si>
    <t>Head &amp; Shoulders cool menthol</t>
  </si>
  <si>
    <t>চুল রুক্ষ বা শুষ্ক লাগা, শ্যাম্পুতে কম ফেনা হওয়া, খুশকি বা মাথার ত্বকে চুলকানি</t>
  </si>
  <si>
    <t>পানি লবণাক্ত, ফেনা হয়না ঠিকমতো</t>
  </si>
  <si>
    <t>শ্যাম্পুর ব্র্যান্ড বা ভ্যারিয়েন্ট বদলেছি, ফিল্টার করা বা কিনে আনা পানি ব্যবহার করেছি</t>
  </si>
  <si>
    <t>লবণ পানির এলাকার জন্যও কিছু করা যায় কি না দেখবেন। strip শুধু hardness দেখায় এটা বলায় ভালো লাগলো, সৎ মনে হয়েছে।</t>
  </si>
  <si>
    <t>Dhaka, Mirpur 10</t>
  </si>
  <si>
    <t>Sunsilk thick and long</t>
  </si>
  <si>
    <t>চুলে জট পড়া, স্বাভাবিকের চেয়ে বেশি চুল পড়ছে বলে মনে হওয়া</t>
  </si>
  <si>
    <t>জানি না। হয়তো ধুলাবালি।</t>
  </si>
  <si>
    <t>গাজীপুর, টঙ্গী</t>
  </si>
  <si>
    <t>clear</t>
  </si>
  <si>
    <t>চুল ধোয়ার পরও জমাট বা অবশিষ্ট কিছু থাকার অনুভূতি, স্বাভাবিকের চেয়ে বেশি চুল পড়ছে বলে মনে হওয়া, খুশকি বা মাথার ত্বকে চুলকানি</t>
  </si>
  <si>
    <t>এখানকার পানিতে আয়রন বেশি, সাদা গেঞ্জি হলুদ হয়ে যায়।</t>
  </si>
  <si>
    <t>বালতি, বেসিন বা বাথরুমে হলুদ/কমলা/বাদামি দাগ, পানিতে লোহার মত গন্ধ</t>
  </si>
  <si>
    <t>দাম একটু বেশি মনে হচ্ছে আমাদের মত মেসে থাকা মানুষের জন্য। স্যাশে থাকলে কিনব।</t>
  </si>
  <si>
    <t>Sylhet, Akhalia</t>
  </si>
  <si>
    <t>Pantene hair fall control</t>
  </si>
  <si>
    <t>চুল রুক্ষ বা শুষ্ক লাগা, চুলে জট পড়া, চুল ভেঙে যাওয়া, স্বাভাবিকের চেয়ে বেশি চুল পড়ছে বলে মনে হওয়া</t>
  </si>
  <si>
    <t>বৃষ্টির সময় চুল বেশি জট পাকে, আর হোস্টেলের পানিও ঠিক না</t>
  </si>
  <si>
    <t>বালতি, বেসিন বা বাথরুমে হলুদ/কমলা/বাদামি দাগ, কল বা পাত্রে সাদা জমাট দাগ</t>
  </si>
  <si>
    <t>আমি জানতেই চাই আমাদের হোস্টেলের পানি কেমন। strip দিয়ে বান্ধবীদের সাথে টেস্ট করে দেখতাম 😄</t>
  </si>
  <si>
    <t>নারায়ণগঞ্জ সদর</t>
  </si>
  <si>
    <t>Head and Shoulders</t>
  </si>
  <si>
    <t>খুশকি পুরান সমস্যা।</t>
  </si>
  <si>
    <t>শ্যাম্পুর ব্র্যান্ড বা ভ্যারিয়েন্ট বদলেছি, চিকিৎসক বা অন্য বিশেষজ্ঞের পরামর্শ নিয়েছি</t>
  </si>
  <si>
    <t>খুশকির জন্য কাজ করবে কি না সেটা উল্লেখ নাই। H&amp;S ছেড়ে বদলানোর কারণ দেখছি না এখনো।</t>
  </si>
  <si>
    <t>ঢাকা, মোহাম্মদপুর</t>
  </si>
  <si>
    <t>Sunsilk stunning black shine (মিনিপ্যাক)</t>
  </si>
  <si>
    <t>চুল রুক্ষ বা শুষ্ক লাগা, শ্যাম্পুতে কম ফেনা হওয়া, চুল ধোয়ার পরও জমাট বা অবশিষ্ট কিছু থাকার অনুভূতি</t>
  </si>
  <si>
    <t>মেসের পানিতে কেমন যেন গন্ধ, চুল ধোয়ার পর চটচটে লাগে।</t>
  </si>
  <si>
    <t>স্যাশে ৩ টাকা হলে অবশ্যই ট্রাই করবো।</t>
  </si>
  <si>
    <t>Cumilla Sadar</t>
  </si>
  <si>
    <t>Clear complete active care</t>
  </si>
  <si>
    <t>আমার চুলে তেমন সমস্যা নাই তাই দরকার মনে হয় না।</t>
  </si>
  <si>
    <t>Dhaka, Badda</t>
  </si>
  <si>
    <t>TRESemme keratin smooth</t>
  </si>
  <si>
    <t>চুল রুক্ষ বা শুষ্ক লাগা, চুল ভেঙে যাওয়া, স্বাভাবিকের চেয়ে বেশি চুল পড়ছে বলে মনে হওয়া</t>
  </si>
  <si>
    <t>বাড্ডায় আসার পর থেকে চুল ঝরছে বেশি, পানির কারণে কিনা বুঝি না, আবার কাজের চাপও আছে।</t>
  </si>
  <si>
    <t>শ্যাম্পুর ব্র্যান্ড বা ভ্যারিয়েন্ট বদলেছি, তেল বা ঘরোয়া যত্ন ব্যবহার করেছি, ফিল্টার করা বা কিনে আনা পানি ব্যবহার করেছি</t>
  </si>
  <si>
    <t>কোনো ল্যাব টেস্ট বা dermatologist tested লেখা থাকলে আরো ভরসা পেতাম। বাকিটা দারুণ।</t>
  </si>
  <si>
    <t>রংপুর সদর</t>
  </si>
  <si>
    <t>সানসিল্ক, কোনটা মনে নাই</t>
  </si>
  <si>
    <t>চুল রুক্ষ বা শুষ্ক লাগা, খুশকি বা মাথার ত্বকে চুলকানি</t>
  </si>
  <si>
    <t>শীত আসলে খুশকি বাড়ে</t>
  </si>
  <si>
    <t>Noakhali, Sonapur</t>
  </si>
  <si>
    <t>Dove intense repair</t>
  </si>
  <si>
    <t>চুল রুক্ষ বা শুষ্ক লাগা, চুলে জট পড়া, চুল ধোয়ার পরও জমাট বা অবশিষ্ট কিছু থাকার অনুভূতি, স্বাভাবিকের চেয়ে বেশি চুল পড়ছে বলে মনে হওয়া</t>
  </si>
  <si>
    <t>নোয়াখালীর পানিতে প্রচুর আয়রন, বালতি লাল হয়ে যায়। চুল খড়ের মত লাগে।</t>
  </si>
  <si>
    <t>আয়রন পানির জন্যও যদি কিছু করা যায় তাহলে নোয়াখালী, লক্ষ্মীপুরে খুব চলবে। strip আয়রন মাপে না এটা একটু হতাশ লাগলো।</t>
  </si>
  <si>
    <t>Bogura sadar</t>
  </si>
  <si>
    <t>Head &amp; Shoulders smooth &amp; silky</t>
  </si>
  <si>
    <t>স্বাভাবিকের চেয়ে বেশি চুল পড়ছে বলে মনে হওয়া, খুশকি বা মাথার ত্বকে চুলকানি</t>
  </si>
  <si>
    <t>anti-dandruff ভার্সন থাকলে ভালো হয়।</t>
  </si>
  <si>
    <t>ঢাকা, উত্তরা</t>
  </si>
  <si>
    <t>L'Oreal Paris extraordinary oil</t>
  </si>
  <si>
    <t>চুল রুক্ষ বা শুষ্ক লাগা, চুলে জট পড়া</t>
  </si>
  <si>
    <t>চুলে কালার করেছি তাই রুক্ষ হয়ে গেছে মনে হয়</t>
  </si>
  <si>
    <t>কালার করা চুলে ব্যবহার করা যাবে কিনা জানতে চাই। কন্ডিশনারও লাগবে সাথে।</t>
  </si>
  <si>
    <t>Mymensingh, Trishal</t>
  </si>
  <si>
    <t>clear anti dandruff</t>
  </si>
  <si>
    <t>শ্যাম্পুতে কম ফেনা হওয়া, চুল ধোয়ার পরও জমাট বা অবশিষ্ট কিছু থাকার অনুভূতি, খুশকি বা মাথার ত্বকে চুলকানি</t>
  </si>
  <si>
    <t>ত্রিশালের পানিতে আয়রন আছে, শ্যাম্পু করলে ফেনাই হয় না।</t>
  </si>
  <si>
    <t>student দের জন্য ছোট বোতল দাম কম রাখলে ভালো হয়।</t>
  </si>
  <si>
    <t>Chattogram, Halishahar</t>
  </si>
  <si>
    <t>Sunsilk hair fall solution</t>
  </si>
  <si>
    <t>চুল রুক্ষ বা শুষ্ক লাগা, স্বাভাবিকের চেয়ে বেশি চুল পড়ছে বলে মনে হওয়া</t>
  </si>
  <si>
    <t>বয়সের কারণে হয়তো। আর এখানে পানি মাঝেমধ্যে নোনা লাগে।</t>
  </si>
  <si>
    <t>কল বা পাত্রে সাদা জমাট দাগ, ব্যবহৃত পানি নোনতা বলে আগে থেকেই মনে হয়েছে</t>
  </si>
  <si>
    <t>আমার মেয়ে ফর্মটা পাঠিয়েছে। ধারণা ভালো, কিন্তু QR code আমি নিজে চালাতে পারবো কিনা জানি না, বাংলায় নির্দেশনা থাকলে ভালো।</t>
  </si>
  <si>
    <t>Gazipur, Boardbazar</t>
  </si>
  <si>
    <t>head &amp; shoulders anti hairfall</t>
  </si>
  <si>
    <t>চুল ধোয়ার পরও জমাট বা অবশিষ্ট কিছু থাকার অনুভূতি, স্বাভাবিকের চেয়ে বেশি চুল পড়ছে বলে মনে হওয়া</t>
  </si>
  <si>
    <t>জানি না, হয়তো হলের খাবার</t>
  </si>
  <si>
    <t>Dhaka, Khilgaon</t>
  </si>
  <si>
    <t>Pantene total damage care</t>
  </si>
  <si>
    <t>চুল রুক্ষ বা শুষ্ক লাগা, চুল ভেঙে যাওয়া</t>
  </si>
  <si>
    <t>strip এর রং দেখে কী বুঝবো সেটা ঢাকনার ভিতরেই ছোট চার্টে দিয়ে দিলে ভালো হয়।</t>
  </si>
  <si>
    <t>Satkhira, Shyamnagar</t>
  </si>
  <si>
    <t>সানসিল্ক কালোটা</t>
  </si>
  <si>
    <t>চুল রুক্ষ বা শুষ্ক লাগা, শ্যাম্পুতে কম ফেনা হওয়া, চুল ভেঙে যাওয়া</t>
  </si>
  <si>
    <t>আমাদের এলাকার পানি লবণ, পুকুরের পানিতে গোসল করি। চুল শক্ত হয়ে যায়।</t>
  </si>
  <si>
    <t>আমাদের গ্রামে বোতল কেউ কেনে না, সবাই মিনিপ্যাক কেনে। লবণ পানির জন্য আলাদা কিছু হলে খুব ভালো হতো।</t>
  </si>
  <si>
    <t>Dhaka, Azimpur</t>
  </si>
  <si>
    <t>dove</t>
  </si>
  <si>
    <t>ঘুম কম, টেনশন</t>
  </si>
  <si>
    <t>তেল বা ঘরোয়া যত্ন ব্যবহার করেছি, মেথি বাটা লাগিয়েছি</t>
  </si>
  <si>
    <t>কোম্পানির দেওয়া ডরমিটরিতে থাকি</t>
  </si>
  <si>
    <t>Chattogram, Bayezid</t>
  </si>
  <si>
    <t>Clear</t>
  </si>
  <si>
    <t>চুল ধোয়ার পরও জমাট বা অবশিষ্ট কিছু থাকার অনুভূতি, খুশকি বা মাথার ত্বকে চুলকানি, মাথার ত্বক তৈলাক্ত হয়ে যায়</t>
  </si>
  <si>
    <t>অফিস থেকে ফিরে প্রতিদিন গোসল করি, চুল চটচটে লাগে। কারণ জানি না।</t>
  </si>
  <si>
    <t>শ্যাম্পু তো শ্যাম্পুই, strip দিয়ে কী হবে বুঝলাম না। marketing মনে হচ্ছে।</t>
  </si>
  <si>
    <t>Rajshahi, Kazla</t>
  </si>
  <si>
    <t>Sunsilk black shine</t>
  </si>
  <si>
    <t>চুল রুক্ষ বা শুষ্ক লাগা, চুলে জট পড়া, চুল ধোয়ার পরও জমাট বা অবশিষ্ট কিছু থাকার অনুভূতি</t>
  </si>
  <si>
    <t>রাজশাহীর পানি ভারী, বাসার চেয়ে এখানে চুল অনেক খারাপ হয়ে গেছে</t>
  </si>
  <si>
    <t>রাজশাহীতে খুব দরকার এরকম কিছু। কবে বাজারে আসবে? হলের সবাইকে বলবো।</t>
  </si>
  <si>
    <t>Sylhet, Tilagor</t>
  </si>
  <si>
    <t>H&amp;S</t>
  </si>
  <si>
    <t>মেসের ট্যাংকির পানি, কোথা থেকে আসে জানি না</t>
  </si>
  <si>
    <t>বরিশাল সদর</t>
  </si>
  <si>
    <t>Sunsilk</t>
  </si>
  <si>
    <t>মনে হয় পানি আর শ্যাম্পুর মান দুটোই</t>
  </si>
  <si>
    <t>বালতি, বেসিন বা বাথরুমে হলুদ/কমলা/বাদামি দাগ, ব্যবহৃত পানি নোনতা বলে আগে থেকেই মনে হয়েছে</t>
  </si>
  <si>
    <t>দেশি কোম্পানির পণ্য হওয়া</t>
  </si>
  <si>
    <t>বাচ্চাদের জন্য নিরাপদ কিনা</t>
  </si>
  <si>
    <t>বাচ্চাদের জন্যও ব্যবহার করা যাবে কিনা জানাবেন।</t>
  </si>
  <si>
    <t>Dinajpur sadar</t>
  </si>
  <si>
    <t>Garnier Fructis</t>
  </si>
  <si>
    <t>ঢাকা, পলাশী</t>
  </si>
  <si>
    <t>Mamaearth onion shampoo</t>
  </si>
  <si>
    <t>হলে আসার পর থেকে চুল পড়া শুরু, সবাই বলে পানির কারণে। তবে খাওয়াদাওয়াও ঠিক নাই।</t>
  </si>
  <si>
    <t>online এ (দারাজ/নিজস্ব পেজ) পাওয়া গেলে ভালো। সালফেট ফ্রি কিনা জানাবেন।</t>
  </si>
  <si>
    <t>কুমিল্লা, লাকসাম</t>
  </si>
  <si>
    <t>clear men</t>
  </si>
  <si>
    <t>চুল ধোয়ার পরও জমাট বা অবশিষ্ট কিছু থাকার অনুভূতি, খুশকি বা মাথার ত্বকে চুলকানি</t>
  </si>
  <si>
    <t>পানিতে আয়রন।</t>
  </si>
  <si>
    <t>strip দিয়ে আয়রনও মাপা গেলে ১০০% কিনতাম।</t>
  </si>
  <si>
    <t>খুলনা, সোনাডাঙ্গা</t>
  </si>
  <si>
    <t>সানসিল্ক হেয়ার ফল</t>
  </si>
  <si>
    <t>চুল রুক্ষ বা শুষ্ক লাগা, শ্যাম্পুতে কম ফেনা হওয়া, স্বাভাবিকের চেয়ে বেশি চুল পড়ছে বলে মনে হওয়া</t>
  </si>
  <si>
    <t>খুলনার পানি নোনা, ফেনা কম হয়।</t>
  </si>
  <si>
    <t>Chattogram, Hathazari</t>
  </si>
  <si>
    <t>head and shoulders cool menthol</t>
  </si>
  <si>
    <t>ছেলেদের জন্য menthol ভার্সন থাকলে ভালো হয়।</t>
  </si>
  <si>
    <t>Dhaka, Rampura</t>
  </si>
  <si>
    <t>Dove daily shine</t>
  </si>
  <si>
    <t>Rajshahi, Boalia</t>
  </si>
  <si>
    <t>ব্যবহার করি না</t>
  </si>
  <si>
    <t>আমার শ্যাম্পু লাগে না, সাবানেই চলে।</t>
  </si>
  <si>
    <t>Narayanganj, Fatullah</t>
  </si>
  <si>
    <t>Sunsilk lusciously thick &amp; long</t>
  </si>
  <si>
    <t>চুলে জট পড়া, স্বাভাবিকের চেয়ে বেশি চুল পড়ছে বলে মনে হওয়া, খুশকি বা মাথার ত্বকে চুলকানি</t>
  </si>
  <si>
    <t>ধুলাবালি আর ফ্যাক্টরির ধোঁয়া</t>
  </si>
  <si>
    <t>Dhaka, Mirpur 1</t>
  </si>
  <si>
    <t>রোদে কাজ করি, ঘাম আর ধুলা</t>
  </si>
  <si>
    <t>এলাকার দোকানে না পাওয়া গেলে কেউ কিনবে না। মুদি দোকানে দিতে হবে।</t>
  </si>
  <si>
    <t>ময়মনসিংহ সদর</t>
  </si>
  <si>
    <t>Pantene</t>
  </si>
  <si>
    <t>হলের পানিতে আয়রন, সাদা কাপড়ে দাগ পড়ে</t>
  </si>
  <si>
    <t>এরকম research based পণ্য দেশে বানালে ভালো লাগবে। মেয়েদের হলের জন্য প্রমোশন করলে ভালো সাড়া পাবেন।</t>
  </si>
  <si>
    <t>Dhaka, Tejgaon</t>
  </si>
  <si>
    <t>জানি না, তবে মেস বদলানোর পর বেড়েছে</t>
  </si>
  <si>
    <t>শ্যাম্পুর ব্র্যান্ড বা ভ্যারিয়েন্ট বদলেছি, হেয়ার সিরাম</t>
  </si>
  <si>
    <t>সিলেট সদর</t>
  </si>
  <si>
    <t>Sunsilk (বউ যেটা আনে)</t>
  </si>
  <si>
    <t>পরিবারের জন্য কিনলে বউ সিদ্ধান্ত নেবে 🙂</t>
  </si>
  <si>
    <t>কুষ্টিয়া সদর</t>
  </si>
  <si>
    <t>TRESemme hair fall defence</t>
  </si>
  <si>
    <t>পানি খুব খর মনে হয়, সাবানে ফেনা হয় না</t>
  </si>
  <si>
    <t>strip কতদিন ভালো থাকবে (expiry) সেটা জানাবেন। আর ঘ্রাণ যেন হালকা হয়।</t>
  </si>
  <si>
    <t>Dhaka, Jatrabari</t>
  </si>
  <si>
    <t>clear men cool sport</t>
  </si>
  <si>
    <t>ধুলাবালি</t>
  </si>
  <si>
    <t>৩ টাকার স্যাশে খুবই ভালো, দোকানে ঝুলিয়ে রাখলে কিনবো।</t>
  </si>
  <si>
    <t>Gazipur, Sreepur</t>
  </si>
  <si>
    <t>Head &amp; Shoulders</t>
  </si>
  <si>
    <t>পানিতে আয়রন আছে, ফিল্টার লাগিয়েছি খাওয়ার জন্য কিন্তু গোসলের পানি তো একই।</t>
  </si>
  <si>
    <t>শাওয়ার ফিল্টারের চেয়ে সস্তা হলে এটা ভালো সমাধান।</t>
  </si>
  <si>
    <t>ঢাকা, বকশীবাজার</t>
  </si>
  <si>
    <t>আমার কোন সমস্যা নাই, তাই দরকার নাই। তবে যাদের সমস্যা আছে তাদের কাজে লাগতে পারে।</t>
  </si>
  <si>
    <t>চট্টগ্রাম, বন্দর</t>
  </si>
  <si>
    <t>সমুদ্রের বাতাস আর আর্দ্রতা মনে হয়</t>
  </si>
  <si>
    <t>Jashore sadar</t>
  </si>
  <si>
    <t>হার্ডনেস স্ট্রিপ জিনিসটা বুঝলাম না ঠিক। সাধারণ মানুষ এটা বুঝবে কিনা সন্দেহ আছে।</t>
  </si>
  <si>
    <t>সাভার</t>
  </si>
  <si>
    <t>Sunsilk thick &amp; long</t>
  </si>
  <si>
    <t>হলের পানিতে কিছু একটা সমস্যা আছে, সবারই চুল পড়ে</t>
  </si>
  <si>
    <t>Dhaka, Mohammadpur</t>
  </si>
  <si>
    <t>বয়স হয়েছে</t>
  </si>
  <si>
    <t>Rangpur, Lalbagh</t>
  </si>
  <si>
    <t>জানি না।</t>
  </si>
  <si>
    <t>বাড়িওয়ালার মোটরের পানি</t>
  </si>
  <si>
    <t>Brahmanbaria</t>
  </si>
  <si>
    <t>ঢাকা, মালিবাগ</t>
  </si>
  <si>
    <t>Pantene silky smooth</t>
  </si>
  <si>
    <t>চুল রুক্ষ বা শুষ্ক লাগা, চুল ধোয়ার পরও জমাট বা অবশিষ্ট কিছু থাকার অনুভূতি, স্বাভাবিকের চেয়ে বেশি চুল পড়ছে বলে মনে হওয়া</t>
  </si>
  <si>
    <t>ট্যাংকির পানি পরিষ্কার না মনে হয়, বাড়িওয়ালা অনেকদিন ট্যাংক পরিষ্কার করে না</t>
  </si>
  <si>
    <t>QR এ গিয়ে নিজের এলাকার পানির রিপোর্ট দেখার আইডিয়াটা ভালো। প্রথম মাসে স্যাশে ফ্রি দিলে বেশি মানুষ ট্রাই করবে।</t>
  </si>
  <si>
    <t>শ্যাম্পুতে কম ফেনা হওয়া, খুশকি বা মাথার ত্বকে চুলকানি</t>
  </si>
  <si>
    <t>শ্যাম্পু সুট করে না মনে হয়</t>
  </si>
  <si>
    <t>Response row</t>
  </si>
  <si>
    <t>Q11 উত্তর (হুবহু)</t>
  </si>
  <si>
    <t>নিজে থেকে পানি উল্লেখ?</t>
  </si>
  <si>
    <t>অস্পষ্ট (জায়গা বদল বলেছেন, পানি নয়)</t>
  </si>
  <si>
    <t>Q2 (ফর্মে যা আছে)</t>
  </si>
  <si>
    <t>ধরে নেওয়া আসল বয়স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</si>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</sst>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0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595959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11"/>
      <name val="Arial"/>
      <charset val="1"/>
    </font>
    <font>
      <sz val="10"/>
      <name val="Arial"/>
      <family val="2"/>
    </font>
    <font>
      <sz val="10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2" borderId="1" xfId="0" applyFont="1" applyFill="1" applyBorder="1"/>
    <xf numFmtId="1" fontId="5" fillId="2" borderId="1" xfId="0" applyNumberFormat="1" applyFont="1" applyFill="1" applyBorder="1"/>
    <xf numFmtId="9" fontId="5" fillId="2" borderId="1" xfId="0" applyNumberFormat="1" applyFont="1" applyFill="1" applyBorder="1"/>
    <xf numFmtId="0" fontId="6" fillId="3" borderId="0" xfId="0" applyFont="1" applyFill="1"/>
    <xf numFmtId="0" fontId="4" fillId="0" borderId="1" xfId="0" applyFont="1" applyBorder="1"/>
    <xf numFmtId="9" fontId="4" fillId="0" borderId="1" xfId="0" applyNumberFormat="1" applyFont="1" applyBorder="1"/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6" fillId="3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tabSelected="1" topLeftCell="A130" zoomScaleNormal="100" workbookViewId="0">
      <selection activeCell="M161" sqref="M161"/>
    </sheetView>
  </sheetViews>
  <sheetFormatPr defaultColWidth="8.7109375" defaultRowHeight="15"/>
  <cols>
    <col min="1" max="1" width="58" customWidth="1"/>
    <col min="2" max="3" width="12" customWidth="1"/>
  </cols>
  <sheetData>
    <row r="1" spans="1:5" ht="18">
      <c r="A1" s="1" t="s">
        <v>354</v>
      </c>
    </row>
    <row r="2" spans="1:5">
      <c r="A2" s="2" t="s">
        <v>354</v>
      </c>
      <c r="B2" t="s">
        <v>354</v>
      </c>
      <c r="C2" t="s">
        <v>354</v>
      </c>
      <c r="D2" t="s">
        <v>354</v>
      </c>
      <c r="E2" t="s">
        <v>354</v>
      </c>
    </row>
    <row r="3" spans="1:5">
      <c r="B3" t="s">
        <v>354</v>
      </c>
    </row>
    <row r="4" spans="1:5" ht="15.75">
      <c r="A4" s="3" t="s">
        <v>0</v>
      </c>
    </row>
    <row r="5" spans="1:5">
      <c r="A5" s="4" t="s">
        <v>1</v>
      </c>
      <c r="B5" s="5">
        <f>COUNTA('Form Responses 1'!$B$2:$B$51)</f>
        <v>50</v>
      </c>
    </row>
    <row r="6" spans="1:5">
      <c r="A6" s="4" t="s">
        <v>2</v>
      </c>
      <c r="B6" s="5">
        <f>COUNTIF('Form Responses 1'!$B$2:$B$51,"না")</f>
        <v>1</v>
      </c>
    </row>
    <row r="7" spans="1:5">
      <c r="A7" s="4" t="s">
        <v>3</v>
      </c>
      <c r="B7" s="5">
        <f>COUNTIF('Form Responses 1'!$B$2:$B$51,"হ্যাঁ, বয়স ১৮ বছর বা বেশি এবং আমি রাজি")</f>
        <v>49</v>
      </c>
    </row>
    <row r="8" spans="1:5">
      <c r="A8" s="4" t="s">
        <v>4</v>
      </c>
      <c r="B8" s="6">
        <f>COUNTIFS('Simulation key'!$D$2:$D$50,"&gt;=30",'Simulation key'!$D$2:$D$50,"&lt;=46")/$B$7</f>
        <v>0.20408163265306123</v>
      </c>
    </row>
    <row r="9" spans="1:5">
      <c r="A9" s="4" t="s">
        <v>5</v>
      </c>
      <c r="B9" s="6">
        <f>(COUNTIF('Form Responses 1'!$R$2:$R$51,4)+COUNTIF('Form Responses 1'!$R$2:$R$51,5))/$B$7</f>
        <v>0.77551020408163263</v>
      </c>
    </row>
    <row r="10" spans="1:5">
      <c r="A10" s="4" t="s">
        <v>6</v>
      </c>
      <c r="B10" s="6">
        <f>(COUNTIF('Form Responses 1'!$S$2:$S$51,4)+COUNTIF('Form Responses 1'!$S$2:$S$51,5))/$B$7</f>
        <v>0.77551020408163263</v>
      </c>
    </row>
    <row r="11" spans="1:5">
      <c r="A11" s="4" t="s">
        <v>7</v>
      </c>
      <c r="B11" s="6">
        <f>(COUNTIF('Form Responses 1'!$T$2:$T$51,"অবশ্যই কিনে দেখতাম")+COUNTIF('Form Responses 1'!$T$2:$T$51,"সম্ভবত কিনে দেখতাম"))/$B$7</f>
        <v>0.77551020408163263</v>
      </c>
    </row>
    <row r="12" spans="1:5">
      <c r="A12" s="4" t="s">
        <v>8</v>
      </c>
      <c r="B12" s="6">
        <f>(COUNTIF('Form Responses 1'!$V$2:$V$51,"অবশ্যই কিনে দেখতাম")+COUNTIF('Form Responses 1'!$V$2:$V$51,"সম্ভবত কিনে দেখতাম"))/$B$7</f>
        <v>0.67346938775510201</v>
      </c>
    </row>
    <row r="13" spans="1:5">
      <c r="A13" s="4" t="s">
        <v>9</v>
      </c>
      <c r="B13" s="5">
        <f>COUNT('Form Responses 1'!$U$2:$U$51)</f>
        <v>47</v>
      </c>
    </row>
    <row r="14" spans="1:5">
      <c r="A14" s="4" t="s">
        <v>10</v>
      </c>
      <c r="B14" s="5">
        <f>MEDIAN('Form Responses 1'!$U$2:$U$51)</f>
        <v>320</v>
      </c>
    </row>
    <row r="15" spans="1:5">
      <c r="A15" s="4" t="s">
        <v>11</v>
      </c>
      <c r="B15" s="5">
        <f>AVERAGE('Form Responses 1'!$U$2:$U$51)</f>
        <v>321.91489361702128</v>
      </c>
    </row>
    <row r="16" spans="1:5">
      <c r="A16" s="4" t="s">
        <v>12</v>
      </c>
      <c r="B16" s="6">
        <f>COUNTIF('Form Responses 1'!$U$2:$U$51,"&gt;=360")/COUNT('Form Responses 1'!$U$2:$U$51)</f>
        <v>0.31914893617021278</v>
      </c>
    </row>
    <row r="17" spans="1:3">
      <c r="A17" s="4" t="s">
        <v>13</v>
      </c>
      <c r="B17" s="5">
        <f>MEDIAN('Form Responses 1'!$I$2:$I$51)</f>
        <v>350</v>
      </c>
    </row>
    <row r="18" spans="1:3">
      <c r="A18" s="4" t="s">
        <v>14</v>
      </c>
      <c r="B18" s="5">
        <f>COUNTA('Q11 কোডিং'!$B$2:$B$42)</f>
        <v>41</v>
      </c>
    </row>
    <row r="19" spans="1:3">
      <c r="A19" s="4" t="s">
        <v>15</v>
      </c>
      <c r="B19" s="6">
        <f>COUNTIF('Q11 কোডিং'!$C$2:$C$42,"হ্যাঁ")/$B$7</f>
        <v>0.42857142857142855</v>
      </c>
    </row>
    <row r="21" spans="1:3">
      <c r="A21" s="7" t="s">
        <v>16</v>
      </c>
      <c r="B21" s="7" t="s">
        <v>17</v>
      </c>
      <c r="C21" s="7" t="s">
        <v>18</v>
      </c>
    </row>
    <row r="22" spans="1:3">
      <c r="A22" s="8" t="s">
        <v>19</v>
      </c>
      <c r="B22" s="8">
        <f>COUNTIF('Form Responses 1'!$C$2:$C$51,A22)</f>
        <v>30</v>
      </c>
      <c r="C22" s="9">
        <f>B22/$B$7</f>
        <v>0.61224489795918369</v>
      </c>
    </row>
    <row r="23" spans="1:3">
      <c r="A23" s="8" t="s">
        <v>20</v>
      </c>
      <c r="B23" s="8">
        <f>COUNTIF('Form Responses 1'!$C$2:$C$51,A23)</f>
        <v>11</v>
      </c>
      <c r="C23" s="9">
        <f>B23/$B$7</f>
        <v>0.22448979591836735</v>
      </c>
    </row>
    <row r="24" spans="1:3">
      <c r="A24" s="8" t="s">
        <v>21</v>
      </c>
      <c r="B24" s="8">
        <f>COUNTIF('Form Responses 1'!$C$2:$C$51,A24)</f>
        <v>5</v>
      </c>
      <c r="C24" s="9">
        <f>B24/$B$7</f>
        <v>0.10204081632653061</v>
      </c>
    </row>
    <row r="25" spans="1:3">
      <c r="A25" s="8" t="s">
        <v>22</v>
      </c>
      <c r="B25" s="8">
        <f>COUNTIF('Form Responses 1'!$C$2:$C$51,A25)</f>
        <v>2</v>
      </c>
      <c r="C25" s="9">
        <f>B25/$B$7</f>
        <v>4.0816326530612242E-2</v>
      </c>
    </row>
    <row r="26" spans="1:3">
      <c r="A26" s="8" t="s">
        <v>23</v>
      </c>
      <c r="B26" s="8">
        <f>COUNTIF('Form Responses 1'!$C$2:$C$51,A26)</f>
        <v>1</v>
      </c>
      <c r="C26" s="9">
        <f>B26/$B$7</f>
        <v>2.0408163265306121E-2</v>
      </c>
    </row>
    <row r="28" spans="1:3">
      <c r="A28" s="7" t="s">
        <v>24</v>
      </c>
      <c r="B28" s="7" t="s">
        <v>17</v>
      </c>
      <c r="C28" s="7" t="s">
        <v>18</v>
      </c>
    </row>
    <row r="29" spans="1:3">
      <c r="A29" s="8" t="s">
        <v>25</v>
      </c>
      <c r="B29" s="8">
        <f>COUNTIF('Form Responses 1'!$D$2:$D$51,A29)</f>
        <v>25</v>
      </c>
      <c r="C29" s="9">
        <f>B29/$B$7</f>
        <v>0.51020408163265307</v>
      </c>
    </row>
    <row r="30" spans="1:3">
      <c r="A30" s="8" t="s">
        <v>26</v>
      </c>
      <c r="B30" s="8">
        <f>COUNTIF('Form Responses 1'!$D$2:$D$51,A30)</f>
        <v>21</v>
      </c>
      <c r="C30" s="9">
        <f>B30/$B$7</f>
        <v>0.42857142857142855</v>
      </c>
    </row>
    <row r="31" spans="1:3">
      <c r="A31" s="8" t="s">
        <v>27</v>
      </c>
      <c r="B31" s="8">
        <f>COUNTIF('Form Responses 1'!$D$2:$D$51,A31)</f>
        <v>0</v>
      </c>
      <c r="C31" s="9">
        <f>B31/$B$7</f>
        <v>0</v>
      </c>
    </row>
    <row r="32" spans="1:3">
      <c r="A32" s="8" t="s">
        <v>28</v>
      </c>
      <c r="B32" s="8">
        <f>COUNTIF('Form Responses 1'!$D$2:$D$51,A32)</f>
        <v>1</v>
      </c>
      <c r="C32" s="9">
        <f>B32/$B$7</f>
        <v>2.0408163265306121E-2</v>
      </c>
    </row>
    <row r="34" spans="1:3">
      <c r="A34" s="7" t="s">
        <v>29</v>
      </c>
      <c r="B34" s="7" t="s">
        <v>17</v>
      </c>
      <c r="C34" s="7" t="s">
        <v>18</v>
      </c>
    </row>
    <row r="35" spans="1:3">
      <c r="A35" s="8" t="s">
        <v>30</v>
      </c>
      <c r="B35" s="8">
        <f>COUNTIF('Form Responses 1'!$E$2:$E$51,A35)</f>
        <v>22</v>
      </c>
      <c r="C35" s="9">
        <f>B35/$B$7</f>
        <v>0.44897959183673469</v>
      </c>
    </row>
    <row r="36" spans="1:3">
      <c r="A36" s="8" t="s">
        <v>31</v>
      </c>
      <c r="B36" s="8">
        <f>COUNTIF('Form Responses 1'!$E$2:$E$51,A36)</f>
        <v>5</v>
      </c>
      <c r="C36" s="9">
        <f>B36/$B$7</f>
        <v>0.10204081632653061</v>
      </c>
    </row>
    <row r="37" spans="1:3">
      <c r="A37" s="8" t="s">
        <v>32</v>
      </c>
      <c r="B37" s="8">
        <f>COUNTIF('Form Responses 1'!$E$2:$E$51,A37)</f>
        <v>16</v>
      </c>
      <c r="C37" s="9">
        <f>B37/$B$7</f>
        <v>0.32653061224489793</v>
      </c>
    </row>
    <row r="38" spans="1:3">
      <c r="A38" s="8" t="s">
        <v>33</v>
      </c>
      <c r="B38" s="8">
        <f>COUNTIF('Form Responses 1'!$E$2:$E$51,A38)</f>
        <v>5</v>
      </c>
      <c r="C38" s="9">
        <f>B38/$B$7</f>
        <v>0.10204081632653061</v>
      </c>
    </row>
    <row r="39" spans="1:3">
      <c r="A39" s="10" t="s">
        <v>34</v>
      </c>
      <c r="B39" s="8">
        <f>COUNTA('Form Responses 1'!$E$2:$E$51)-SUM(B35:B38)</f>
        <v>1</v>
      </c>
      <c r="C39" s="9">
        <f>B39/$B$7</f>
        <v>2.0408163265306121E-2</v>
      </c>
    </row>
    <row r="40" spans="1:3">
      <c r="A40" s="11" t="s">
        <v>35</v>
      </c>
    </row>
    <row r="42" spans="1:3">
      <c r="A42" s="7" t="s">
        <v>36</v>
      </c>
      <c r="B42" s="7" t="s">
        <v>17</v>
      </c>
      <c r="C42" s="7" t="s">
        <v>18</v>
      </c>
    </row>
    <row r="43" spans="1:3">
      <c r="A43" s="8" t="s">
        <v>37</v>
      </c>
      <c r="B43" s="8">
        <f>COUNTIF('Form Responses 1'!$J$2:$J$51,A43)</f>
        <v>1</v>
      </c>
      <c r="C43" s="9">
        <f t="shared" ref="C43:C48" si="0">B43/$B$7</f>
        <v>2.0408163265306121E-2</v>
      </c>
    </row>
    <row r="44" spans="1:3">
      <c r="A44" s="8" t="s">
        <v>38</v>
      </c>
      <c r="B44" s="8">
        <f>COUNTIF('Form Responses 1'!$J$2:$J$51,A44)</f>
        <v>1</v>
      </c>
      <c r="C44" s="9">
        <f t="shared" si="0"/>
        <v>2.0408163265306121E-2</v>
      </c>
    </row>
    <row r="45" spans="1:3">
      <c r="A45" s="8" t="s">
        <v>39</v>
      </c>
      <c r="B45" s="8">
        <f>COUNTIF('Form Responses 1'!$J$2:$J$51,A45)</f>
        <v>2</v>
      </c>
      <c r="C45" s="9">
        <f t="shared" si="0"/>
        <v>4.0816326530612242E-2</v>
      </c>
    </row>
    <row r="46" spans="1:3">
      <c r="A46" s="8" t="s">
        <v>40</v>
      </c>
      <c r="B46" s="8">
        <f>COUNTIF('Form Responses 1'!$J$2:$J$51,A46)</f>
        <v>29</v>
      </c>
      <c r="C46" s="9">
        <f t="shared" si="0"/>
        <v>0.59183673469387754</v>
      </c>
    </row>
    <row r="47" spans="1:3">
      <c r="A47" s="8" t="s">
        <v>41</v>
      </c>
      <c r="B47" s="8">
        <f>COUNTIF('Form Responses 1'!$J$2:$J$51,A47)</f>
        <v>10</v>
      </c>
      <c r="C47" s="9">
        <f t="shared" si="0"/>
        <v>0.20408163265306123</v>
      </c>
    </row>
    <row r="48" spans="1:3">
      <c r="A48" s="8" t="s">
        <v>42</v>
      </c>
      <c r="B48" s="8">
        <f>COUNTIF('Form Responses 1'!$J$2:$J$51,A48)</f>
        <v>6</v>
      </c>
      <c r="C48" s="9">
        <f t="shared" si="0"/>
        <v>0.12244897959183673</v>
      </c>
    </row>
    <row r="50" spans="1:3">
      <c r="A50" s="7" t="s">
        <v>43</v>
      </c>
      <c r="B50" s="7" t="s">
        <v>17</v>
      </c>
      <c r="C50" s="7" t="s">
        <v>18</v>
      </c>
    </row>
    <row r="51" spans="1:3">
      <c r="A51" s="8" t="s">
        <v>44</v>
      </c>
      <c r="B51" s="8">
        <f>COUNTIF('Form Responses 1'!$K$2:$K$51,"*"&amp;A51&amp;"*")</f>
        <v>27</v>
      </c>
      <c r="C51" s="9">
        <f t="shared" ref="C51:C58" si="1">B51/$B$7</f>
        <v>0.55102040816326525</v>
      </c>
    </row>
    <row r="52" spans="1:3">
      <c r="A52" s="8" t="s">
        <v>45</v>
      </c>
      <c r="B52" s="8">
        <f>COUNTIF('Form Responses 1'!$K$2:$K$51,"*"&amp;A52&amp;"*")</f>
        <v>14</v>
      </c>
      <c r="C52" s="9">
        <f t="shared" si="1"/>
        <v>0.2857142857142857</v>
      </c>
    </row>
    <row r="53" spans="1:3">
      <c r="A53" s="8" t="s">
        <v>46</v>
      </c>
      <c r="B53" s="8">
        <f>COUNTIF('Form Responses 1'!$K$2:$K$51,"*"&amp;A53&amp;"*")</f>
        <v>6</v>
      </c>
      <c r="C53" s="9">
        <f t="shared" si="1"/>
        <v>0.12244897959183673</v>
      </c>
    </row>
    <row r="54" spans="1:3">
      <c r="A54" s="8" t="s">
        <v>47</v>
      </c>
      <c r="B54" s="8">
        <f>COUNTIF('Form Responses 1'!$K$2:$K$51,"*"&amp;A54&amp;"*")</f>
        <v>14</v>
      </c>
      <c r="C54" s="9">
        <f t="shared" si="1"/>
        <v>0.2857142857142857</v>
      </c>
    </row>
    <row r="55" spans="1:3">
      <c r="A55" s="8" t="s">
        <v>48</v>
      </c>
      <c r="B55" s="8">
        <f>COUNTIF('Form Responses 1'!$K$2:$K$51,"*"&amp;A55&amp;"*")</f>
        <v>6</v>
      </c>
      <c r="C55" s="9">
        <f t="shared" si="1"/>
        <v>0.12244897959183673</v>
      </c>
    </row>
    <row r="56" spans="1:3">
      <c r="A56" s="8" t="s">
        <v>49</v>
      </c>
      <c r="B56" s="8">
        <f>COUNTIF('Form Responses 1'!$K$2:$K$51,"*"&amp;A56&amp;"*")</f>
        <v>26</v>
      </c>
      <c r="C56" s="9">
        <f t="shared" si="1"/>
        <v>0.53061224489795922</v>
      </c>
    </row>
    <row r="57" spans="1:3">
      <c r="A57" s="8" t="s">
        <v>50</v>
      </c>
      <c r="B57" s="8">
        <f>COUNTIF('Form Responses 1'!$K$2:$K$51,"*"&amp;A57&amp;"*")</f>
        <v>17</v>
      </c>
      <c r="C57" s="9">
        <f t="shared" si="1"/>
        <v>0.34693877551020408</v>
      </c>
    </row>
    <row r="58" spans="1:3">
      <c r="A58" s="8" t="s">
        <v>51</v>
      </c>
      <c r="B58" s="8">
        <f>COUNTIF('Form Responses 1'!$K$2:$K$51,"*"&amp;A58&amp;"*")</f>
        <v>3</v>
      </c>
      <c r="C58" s="9">
        <f t="shared" si="1"/>
        <v>6.1224489795918366E-2</v>
      </c>
    </row>
    <row r="59" spans="1:3">
      <c r="A59" s="11" t="s">
        <v>52</v>
      </c>
    </row>
    <row r="60" spans="1:3">
      <c r="A60" s="12" t="s">
        <v>53</v>
      </c>
    </row>
    <row r="62" spans="1:3">
      <c r="A62" s="7" t="s">
        <v>54</v>
      </c>
      <c r="B62" s="7" t="s">
        <v>17</v>
      </c>
      <c r="C62" s="7" t="s">
        <v>18</v>
      </c>
    </row>
    <row r="63" spans="1:3">
      <c r="A63" s="8" t="s">
        <v>55</v>
      </c>
      <c r="B63" s="8">
        <f>COUNTIF('Form Responses 1'!$M$2:$M$51,A63)</f>
        <v>23</v>
      </c>
      <c r="C63" s="9">
        <f t="shared" ref="C63:C70" si="2">B63/$B$7</f>
        <v>0.46938775510204084</v>
      </c>
    </row>
    <row r="64" spans="1:3">
      <c r="A64" s="8" t="s">
        <v>56</v>
      </c>
      <c r="B64" s="8">
        <f>COUNTIF('Form Responses 1'!$M$2:$M$51,A64)</f>
        <v>14</v>
      </c>
      <c r="C64" s="9">
        <f t="shared" si="2"/>
        <v>0.2857142857142857</v>
      </c>
    </row>
    <row r="65" spans="1:3">
      <c r="A65" s="8" t="s">
        <v>57</v>
      </c>
      <c r="B65" s="8">
        <f>COUNTIF('Form Responses 1'!$M$2:$M$51,A65)</f>
        <v>5</v>
      </c>
      <c r="C65" s="9">
        <f t="shared" si="2"/>
        <v>0.10204081632653061</v>
      </c>
    </row>
    <row r="66" spans="1:3">
      <c r="A66" s="8" t="s">
        <v>58</v>
      </c>
      <c r="B66" s="8">
        <f>COUNTIF('Form Responses 1'!$M$2:$M$51,A66)</f>
        <v>1</v>
      </c>
      <c r="C66" s="9">
        <f t="shared" si="2"/>
        <v>2.0408163265306121E-2</v>
      </c>
    </row>
    <row r="67" spans="1:3">
      <c r="A67" s="8" t="s">
        <v>59</v>
      </c>
      <c r="B67" s="8">
        <f>COUNTIF('Form Responses 1'!$M$2:$M$51,A67)</f>
        <v>0</v>
      </c>
      <c r="C67" s="9">
        <f t="shared" si="2"/>
        <v>0</v>
      </c>
    </row>
    <row r="68" spans="1:3">
      <c r="A68" s="8" t="s">
        <v>60</v>
      </c>
      <c r="B68" s="8">
        <f>COUNTIF('Form Responses 1'!$M$2:$M$51,A68)</f>
        <v>1</v>
      </c>
      <c r="C68" s="9">
        <f t="shared" si="2"/>
        <v>2.0408163265306121E-2</v>
      </c>
    </row>
    <row r="69" spans="1:3">
      <c r="A69" s="8" t="s">
        <v>61</v>
      </c>
      <c r="B69" s="8">
        <f>COUNTIF('Form Responses 1'!$M$2:$M$51,A69)</f>
        <v>3</v>
      </c>
      <c r="C69" s="9">
        <f t="shared" si="2"/>
        <v>6.1224489795918366E-2</v>
      </c>
    </row>
    <row r="70" spans="1:3">
      <c r="A70" s="10" t="s">
        <v>34</v>
      </c>
      <c r="B70" s="8">
        <f>COUNTA('Form Responses 1'!$M$2:$M$51)-SUM(B63:B69)</f>
        <v>2</v>
      </c>
      <c r="C70" s="9">
        <f t="shared" si="2"/>
        <v>4.0816326530612242E-2</v>
      </c>
    </row>
    <row r="71" spans="1:3" ht="29.25">
      <c r="A71" s="11" t="s">
        <v>62</v>
      </c>
    </row>
    <row r="73" spans="1:3">
      <c r="A73" s="7" t="s">
        <v>63</v>
      </c>
      <c r="B73" s="7" t="s">
        <v>17</v>
      </c>
      <c r="C73" s="7" t="s">
        <v>18</v>
      </c>
    </row>
    <row r="74" spans="1:3">
      <c r="A74" s="8" t="s">
        <v>64</v>
      </c>
      <c r="B74" s="8">
        <f>COUNTIF('Form Responses 1'!$N$2:$N$51,A74)</f>
        <v>22</v>
      </c>
      <c r="C74" s="9">
        <f>B74/$B$7</f>
        <v>0.44897959183673469</v>
      </c>
    </row>
    <row r="75" spans="1:3">
      <c r="A75" s="8" t="s">
        <v>65</v>
      </c>
      <c r="B75" s="8">
        <f>COUNTIF('Form Responses 1'!$N$2:$N$51,A75)</f>
        <v>24</v>
      </c>
      <c r="C75" s="9">
        <f>B75/$B$7</f>
        <v>0.48979591836734693</v>
      </c>
    </row>
    <row r="76" spans="1:3">
      <c r="A76" s="8" t="s">
        <v>66</v>
      </c>
      <c r="B76" s="8">
        <f>COUNTIF('Form Responses 1'!$N$2:$N$51,A76)</f>
        <v>3</v>
      </c>
      <c r="C76" s="9">
        <f>B76/$B$7</f>
        <v>6.1224489795918366E-2</v>
      </c>
    </row>
    <row r="78" spans="1:3">
      <c r="A78" s="7" t="s">
        <v>67</v>
      </c>
      <c r="B78" s="7" t="s">
        <v>17</v>
      </c>
      <c r="C78" s="7" t="s">
        <v>18</v>
      </c>
    </row>
    <row r="79" spans="1:3">
      <c r="A79" s="8" t="s">
        <v>68</v>
      </c>
      <c r="B79" s="8">
        <f>COUNTIF('Form Responses 1'!$O$2:$O$51,A79)</f>
        <v>18</v>
      </c>
      <c r="C79" s="9">
        <f>B79/$B$7</f>
        <v>0.36734693877551022</v>
      </c>
    </row>
    <row r="80" spans="1:3">
      <c r="A80" s="8" t="s">
        <v>69</v>
      </c>
      <c r="B80" s="8">
        <f>COUNTIF('Form Responses 1'!$O$2:$O$51,A80)</f>
        <v>1</v>
      </c>
      <c r="C80" s="9">
        <f>B80/$B$7</f>
        <v>2.0408163265306121E-2</v>
      </c>
    </row>
    <row r="81" spans="1:3">
      <c r="A81" s="8" t="s">
        <v>70</v>
      </c>
      <c r="B81" s="8">
        <f>COUNTIF('Form Responses 1'!$O$2:$O$51,A81)</f>
        <v>1</v>
      </c>
      <c r="C81" s="9">
        <f>B81/$B$7</f>
        <v>2.0408163265306121E-2</v>
      </c>
    </row>
    <row r="82" spans="1:3">
      <c r="A82" s="8" t="s">
        <v>71</v>
      </c>
      <c r="B82" s="8">
        <f>COUNTIF('Form Responses 1'!$O$2:$O$51,A82)</f>
        <v>5</v>
      </c>
      <c r="C82" s="9">
        <f>B82/$B$7</f>
        <v>0.10204081632653061</v>
      </c>
    </row>
    <row r="83" spans="1:3">
      <c r="A83" s="8" t="s">
        <v>72</v>
      </c>
      <c r="B83" s="8">
        <f>COUNTIF('Form Responses 1'!$O$2:$O$51,A83)</f>
        <v>24</v>
      </c>
      <c r="C83" s="9">
        <f>B83/$B$7</f>
        <v>0.48979591836734693</v>
      </c>
    </row>
    <row r="85" spans="1:3">
      <c r="A85" s="7" t="s">
        <v>73</v>
      </c>
      <c r="B85" s="7" t="s">
        <v>17</v>
      </c>
      <c r="C85" s="7" t="s">
        <v>18</v>
      </c>
    </row>
    <row r="86" spans="1:3">
      <c r="A86" s="8" t="s">
        <v>74</v>
      </c>
      <c r="B86" s="8">
        <f>COUNTIF('Form Responses 1'!$P$2:$P$51,"*"&amp;A86&amp;"*")</f>
        <v>27</v>
      </c>
      <c r="C86" s="9">
        <f>B86/$B$7</f>
        <v>0.55102040816326525</v>
      </c>
    </row>
    <row r="87" spans="1:3">
      <c r="A87" s="8" t="s">
        <v>75</v>
      </c>
      <c r="B87" s="8">
        <f>COUNTIF('Form Responses 1'!$P$2:$P$51,"*"&amp;A87&amp;"*")</f>
        <v>13</v>
      </c>
      <c r="C87" s="9">
        <f>B87/$B$7</f>
        <v>0.26530612244897961</v>
      </c>
    </row>
    <row r="88" spans="1:3">
      <c r="A88" s="8" t="s">
        <v>76</v>
      </c>
      <c r="B88" s="8">
        <f>COUNTIF('Form Responses 1'!$P$2:$P$51,"*"&amp;A88&amp;"*")</f>
        <v>7</v>
      </c>
      <c r="C88" s="9">
        <f>B88/$B$7</f>
        <v>0.14285714285714285</v>
      </c>
    </row>
    <row r="89" spans="1:3">
      <c r="A89" s="8" t="s">
        <v>51</v>
      </c>
      <c r="B89" s="8">
        <f>COUNTIF('Form Responses 1'!$P$2:$P$51,"*"&amp;A89&amp;"*")</f>
        <v>2</v>
      </c>
      <c r="C89" s="9">
        <f>B89/$B$7</f>
        <v>4.0816326530612242E-2</v>
      </c>
    </row>
    <row r="90" spans="1:3">
      <c r="A90" s="8" t="s">
        <v>77</v>
      </c>
      <c r="B90" s="8">
        <f>COUNTIF('Form Responses 1'!$P$2:$P$51,"*"&amp;A90&amp;"*")</f>
        <v>8</v>
      </c>
      <c r="C90" s="9">
        <f>B90/$B$7</f>
        <v>0.16326530612244897</v>
      </c>
    </row>
    <row r="91" spans="1:3">
      <c r="A91" s="11" t="s">
        <v>78</v>
      </c>
    </row>
    <row r="92" spans="1:3">
      <c r="A92" s="12" t="s">
        <v>53</v>
      </c>
    </row>
    <row r="94" spans="1:3">
      <c r="A94" s="7" t="s">
        <v>79</v>
      </c>
      <c r="B94" s="7" t="s">
        <v>17</v>
      </c>
      <c r="C94" s="7" t="s">
        <v>18</v>
      </c>
    </row>
    <row r="95" spans="1:3">
      <c r="A95" s="8" t="s">
        <v>80</v>
      </c>
      <c r="B95" s="8">
        <f>COUNTIF('Form Responses 1'!$Q$2:$Q$51,"*"&amp;A95&amp;"*")</f>
        <v>36</v>
      </c>
      <c r="C95" s="9">
        <f>B95/$B$7</f>
        <v>0.73469387755102045</v>
      </c>
    </row>
    <row r="96" spans="1:3">
      <c r="A96" s="8" t="s">
        <v>81</v>
      </c>
      <c r="B96" s="8">
        <f>COUNTIF('Form Responses 1'!$Q$2:$Q$51,"*"&amp;A96&amp;"*")</f>
        <v>21</v>
      </c>
      <c r="C96" s="9">
        <f>B96/$B$7</f>
        <v>0.42857142857142855</v>
      </c>
    </row>
    <row r="97" spans="1:3">
      <c r="A97" s="8" t="s">
        <v>82</v>
      </c>
      <c r="B97" s="8">
        <f>COUNTIF('Form Responses 1'!$Q$2:$Q$51,"*"&amp;A97&amp;"*")</f>
        <v>10</v>
      </c>
      <c r="C97" s="9">
        <f>B97/$B$7</f>
        <v>0.20408163265306123</v>
      </c>
    </row>
    <row r="98" spans="1:3">
      <c r="A98" s="8" t="s">
        <v>83</v>
      </c>
      <c r="B98" s="8">
        <f>COUNTIF('Form Responses 1'!$Q$2:$Q$51,"*"&amp;A98&amp;"*")</f>
        <v>3</v>
      </c>
      <c r="C98" s="9">
        <f>B98/$B$7</f>
        <v>6.1224489795918366E-2</v>
      </c>
    </row>
    <row r="99" spans="1:3">
      <c r="A99" s="8" t="s">
        <v>84</v>
      </c>
      <c r="B99" s="8">
        <f>COUNTIF('Form Responses 1'!$Q$2:$Q$51,"*"&amp;A99&amp;"*")</f>
        <v>7</v>
      </c>
      <c r="C99" s="9">
        <f>B99/$B$7</f>
        <v>0.14285714285714285</v>
      </c>
    </row>
    <row r="100" spans="1:3">
      <c r="A100" s="11" t="s">
        <v>85</v>
      </c>
    </row>
    <row r="101" spans="1:3">
      <c r="A101" s="12" t="s">
        <v>53</v>
      </c>
    </row>
    <row r="103" spans="1:3">
      <c r="A103" s="7" t="s">
        <v>86</v>
      </c>
      <c r="B103" s="7" t="s">
        <v>17</v>
      </c>
      <c r="C103" s="7" t="s">
        <v>18</v>
      </c>
    </row>
    <row r="104" spans="1:3">
      <c r="A104" s="8">
        <v>1</v>
      </c>
      <c r="B104" s="8">
        <f>COUNTIF('Form Responses 1'!$R$2:$R$51,1)</f>
        <v>0</v>
      </c>
      <c r="C104" s="9">
        <f>B104/$B$7</f>
        <v>0</v>
      </c>
    </row>
    <row r="105" spans="1:3">
      <c r="A105" s="8">
        <v>2</v>
      </c>
      <c r="B105" s="8">
        <f>COUNTIF('Form Responses 1'!$R$2:$R$51,2)</f>
        <v>3</v>
      </c>
      <c r="C105" s="9">
        <f>B105/$B$7</f>
        <v>6.1224489795918366E-2</v>
      </c>
    </row>
    <row r="106" spans="1:3">
      <c r="A106" s="8">
        <v>3</v>
      </c>
      <c r="B106" s="8">
        <f>COUNTIF('Form Responses 1'!$R$2:$R$51,3)</f>
        <v>8</v>
      </c>
      <c r="C106" s="9">
        <f>B106/$B$7</f>
        <v>0.16326530612244897</v>
      </c>
    </row>
    <row r="107" spans="1:3">
      <c r="A107" s="8">
        <v>4</v>
      </c>
      <c r="B107" s="8">
        <f>COUNTIF('Form Responses 1'!$R$2:$R$51,4)</f>
        <v>25</v>
      </c>
      <c r="C107" s="9">
        <f>B107/$B$7</f>
        <v>0.51020408163265307</v>
      </c>
    </row>
    <row r="108" spans="1:3">
      <c r="A108" s="8">
        <v>5</v>
      </c>
      <c r="B108" s="8">
        <f>COUNTIF('Form Responses 1'!$R$2:$R$51,5)</f>
        <v>13</v>
      </c>
      <c r="C108" s="9">
        <f>B108/$B$7</f>
        <v>0.26530612244897961</v>
      </c>
    </row>
    <row r="110" spans="1:3">
      <c r="A110" s="7" t="s">
        <v>87</v>
      </c>
      <c r="B110" s="7" t="s">
        <v>17</v>
      </c>
      <c r="C110" s="7" t="s">
        <v>18</v>
      </c>
    </row>
    <row r="111" spans="1:3">
      <c r="A111" s="8">
        <v>1</v>
      </c>
      <c r="B111" s="8">
        <f>COUNTIF('Form Responses 1'!$S$2:$S$51,1)</f>
        <v>1</v>
      </c>
      <c r="C111" s="9">
        <f>B111/$B$7</f>
        <v>2.0408163265306121E-2</v>
      </c>
    </row>
    <row r="112" spans="1:3">
      <c r="A112" s="8">
        <v>2</v>
      </c>
      <c r="B112" s="8">
        <f>COUNTIF('Form Responses 1'!$S$2:$S$51,2)</f>
        <v>1</v>
      </c>
      <c r="C112" s="9">
        <f>B112/$B$7</f>
        <v>2.0408163265306121E-2</v>
      </c>
    </row>
    <row r="113" spans="1:3">
      <c r="A113" s="8">
        <v>3</v>
      </c>
      <c r="B113" s="8">
        <f>COUNTIF('Form Responses 1'!$S$2:$S$51,3)</f>
        <v>9</v>
      </c>
      <c r="C113" s="9">
        <f>B113/$B$7</f>
        <v>0.18367346938775511</v>
      </c>
    </row>
    <row r="114" spans="1:3">
      <c r="A114" s="8">
        <v>4</v>
      </c>
      <c r="B114" s="8">
        <f>COUNTIF('Form Responses 1'!$S$2:$S$51,4)</f>
        <v>24</v>
      </c>
      <c r="C114" s="9">
        <f>B114/$B$7</f>
        <v>0.48979591836734693</v>
      </c>
    </row>
    <row r="115" spans="1:3">
      <c r="A115" s="8">
        <v>5</v>
      </c>
      <c r="B115" s="8">
        <f>COUNTIF('Form Responses 1'!$S$2:$S$51,5)</f>
        <v>14</v>
      </c>
      <c r="C115" s="9">
        <f>B115/$B$7</f>
        <v>0.2857142857142857</v>
      </c>
    </row>
    <row r="117" spans="1:3">
      <c r="A117" s="7" t="s">
        <v>88</v>
      </c>
      <c r="B117" s="7" t="s">
        <v>17</v>
      </c>
      <c r="C117" s="7" t="s">
        <v>18</v>
      </c>
    </row>
    <row r="118" spans="1:3">
      <c r="A118" s="8" t="s">
        <v>89</v>
      </c>
      <c r="B118" s="8">
        <f>COUNTIF('Form Responses 1'!$T$2:$T$51,A118)</f>
        <v>10</v>
      </c>
      <c r="C118" s="9">
        <f>B118/$B$7</f>
        <v>0.20408163265306123</v>
      </c>
    </row>
    <row r="119" spans="1:3">
      <c r="A119" s="8" t="s">
        <v>90</v>
      </c>
      <c r="B119" s="8">
        <f>COUNTIF('Form Responses 1'!$T$2:$T$51,A119)</f>
        <v>28</v>
      </c>
      <c r="C119" s="9">
        <f>B119/$B$7</f>
        <v>0.5714285714285714</v>
      </c>
    </row>
    <row r="120" spans="1:3">
      <c r="A120" s="8" t="s">
        <v>91</v>
      </c>
      <c r="B120" s="8">
        <f>COUNTIF('Form Responses 1'!$T$2:$T$51,A120)</f>
        <v>6</v>
      </c>
      <c r="C120" s="9">
        <f>B120/$B$7</f>
        <v>0.12244897959183673</v>
      </c>
    </row>
    <row r="121" spans="1:3">
      <c r="A121" s="8" t="s">
        <v>92</v>
      </c>
      <c r="B121" s="8">
        <f>COUNTIF('Form Responses 1'!$T$2:$T$51,A121)</f>
        <v>4</v>
      </c>
      <c r="C121" s="9">
        <f>B121/$B$7</f>
        <v>8.1632653061224483E-2</v>
      </c>
    </row>
    <row r="122" spans="1:3">
      <c r="A122" s="8" t="s">
        <v>93</v>
      </c>
      <c r="B122" s="8">
        <f>COUNTIF('Form Responses 1'!$T$2:$T$51,A122)</f>
        <v>1</v>
      </c>
      <c r="C122" s="9">
        <f>B122/$B$7</f>
        <v>2.0408163265306121E-2</v>
      </c>
    </row>
    <row r="124" spans="1:3">
      <c r="A124" s="7" t="s">
        <v>94</v>
      </c>
      <c r="B124" s="7" t="s">
        <v>17</v>
      </c>
      <c r="C124" s="7" t="s">
        <v>18</v>
      </c>
    </row>
    <row r="125" spans="1:3">
      <c r="A125" s="8" t="s">
        <v>89</v>
      </c>
      <c r="B125" s="8">
        <f>COUNTIF('Form Responses 1'!$V$2:$V$51,A125)</f>
        <v>7</v>
      </c>
      <c r="C125" s="9">
        <f>B125/$B$7</f>
        <v>0.14285714285714285</v>
      </c>
    </row>
    <row r="126" spans="1:3">
      <c r="A126" s="8" t="s">
        <v>90</v>
      </c>
      <c r="B126" s="8">
        <f>COUNTIF('Form Responses 1'!$V$2:$V$51,A126)</f>
        <v>26</v>
      </c>
      <c r="C126" s="9">
        <f>B126/$B$7</f>
        <v>0.53061224489795922</v>
      </c>
    </row>
    <row r="127" spans="1:3">
      <c r="A127" s="8" t="s">
        <v>91</v>
      </c>
      <c r="B127" s="8">
        <f>COUNTIF('Form Responses 1'!$V$2:$V$51,A127)</f>
        <v>6</v>
      </c>
      <c r="C127" s="9">
        <f>B127/$B$7</f>
        <v>0.12244897959183673</v>
      </c>
    </row>
    <row r="128" spans="1:3">
      <c r="A128" s="8" t="s">
        <v>92</v>
      </c>
      <c r="B128" s="8">
        <f>COUNTIF('Form Responses 1'!$V$2:$V$51,A128)</f>
        <v>8</v>
      </c>
      <c r="C128" s="9">
        <f>B128/$B$7</f>
        <v>0.16326530612244897</v>
      </c>
    </row>
    <row r="129" spans="1:3">
      <c r="A129" s="8" t="s">
        <v>93</v>
      </c>
      <c r="B129" s="8">
        <f>COUNTIF('Form Responses 1'!$V$2:$V$51,A129)</f>
        <v>2</v>
      </c>
      <c r="C129" s="9">
        <f>B129/$B$7</f>
        <v>4.0816326530612242E-2</v>
      </c>
    </row>
    <row r="131" spans="1:3">
      <c r="A131" s="7" t="s">
        <v>95</v>
      </c>
      <c r="B131" s="7" t="s">
        <v>17</v>
      </c>
      <c r="C131" s="7" t="s">
        <v>18</v>
      </c>
    </row>
    <row r="132" spans="1:3">
      <c r="A132" s="8" t="s">
        <v>96</v>
      </c>
      <c r="B132" s="8">
        <f>COUNTIF('Form Responses 1'!$W$2:$W$51,A132)</f>
        <v>18</v>
      </c>
      <c r="C132" s="9">
        <f>B132/$B$7</f>
        <v>0.36734693877551022</v>
      </c>
    </row>
    <row r="133" spans="1:3">
      <c r="A133" s="8" t="s">
        <v>97</v>
      </c>
      <c r="B133" s="8">
        <f>COUNTIF('Form Responses 1'!$W$2:$W$51,A133)</f>
        <v>11</v>
      </c>
      <c r="C133" s="9">
        <f>B133/$B$7</f>
        <v>0.22448979591836735</v>
      </c>
    </row>
    <row r="134" spans="1:3">
      <c r="A134" s="8" t="s">
        <v>98</v>
      </c>
      <c r="B134" s="8">
        <f>COUNTIF('Form Responses 1'!$W$2:$W$51,A134)</f>
        <v>15</v>
      </c>
      <c r="C134" s="9">
        <f>B134/$B$7</f>
        <v>0.30612244897959184</v>
      </c>
    </row>
    <row r="135" spans="1:3">
      <c r="A135" s="8" t="s">
        <v>99</v>
      </c>
      <c r="B135" s="8">
        <f>COUNTIF('Form Responses 1'!$W$2:$W$51,A135)</f>
        <v>5</v>
      </c>
      <c r="C135" s="9">
        <f>B135/$B$7</f>
        <v>0.10204081632653061</v>
      </c>
    </row>
    <row r="137" spans="1:3">
      <c r="A137" s="7" t="s">
        <v>100</v>
      </c>
      <c r="B137" s="7" t="s">
        <v>17</v>
      </c>
      <c r="C137" s="7" t="s">
        <v>18</v>
      </c>
    </row>
    <row r="138" spans="1:3">
      <c r="A138" s="8" t="s">
        <v>101</v>
      </c>
      <c r="B138" s="8">
        <f>COUNTIF('Form Responses 1'!$X$2:$X$51,A138)</f>
        <v>20</v>
      </c>
      <c r="C138" s="9">
        <f t="shared" ref="C138:C143" si="3">B138/$B$7</f>
        <v>0.40816326530612246</v>
      </c>
    </row>
    <row r="139" spans="1:3">
      <c r="A139" s="8" t="s">
        <v>102</v>
      </c>
      <c r="B139" s="8">
        <f>COUNTIF('Form Responses 1'!$X$2:$X$51,A139)</f>
        <v>9</v>
      </c>
      <c r="C139" s="9">
        <f t="shared" si="3"/>
        <v>0.18367346938775511</v>
      </c>
    </row>
    <row r="140" spans="1:3">
      <c r="A140" s="8" t="s">
        <v>103</v>
      </c>
      <c r="B140" s="8">
        <f>COUNTIF('Form Responses 1'!$X$2:$X$51,A140)</f>
        <v>3</v>
      </c>
      <c r="C140" s="9">
        <f t="shared" si="3"/>
        <v>6.1224489795918366E-2</v>
      </c>
    </row>
    <row r="141" spans="1:3">
      <c r="A141" s="8" t="s">
        <v>104</v>
      </c>
      <c r="B141" s="8">
        <f>COUNTIF('Form Responses 1'!$X$2:$X$51,A141)</f>
        <v>12</v>
      </c>
      <c r="C141" s="9">
        <f t="shared" si="3"/>
        <v>0.24489795918367346</v>
      </c>
    </row>
    <row r="142" spans="1:3">
      <c r="A142" s="8" t="s">
        <v>105</v>
      </c>
      <c r="B142" s="8">
        <f>COUNTIF('Form Responses 1'!$X$2:$X$51,A142)</f>
        <v>4</v>
      </c>
      <c r="C142" s="9">
        <f t="shared" si="3"/>
        <v>8.1632653061224483E-2</v>
      </c>
    </row>
    <row r="143" spans="1:3">
      <c r="A143" s="10" t="s">
        <v>34</v>
      </c>
      <c r="B143" s="8">
        <f>COUNTA('Form Responses 1'!$X$2:$X$51)-SUM(B138:B142)</f>
        <v>1</v>
      </c>
      <c r="C143" s="9">
        <f t="shared" si="3"/>
        <v>2.0408163265306121E-2</v>
      </c>
    </row>
    <row r="144" spans="1:3">
      <c r="A144" s="11" t="s">
        <v>106</v>
      </c>
    </row>
    <row r="146" spans="1:3">
      <c r="A146" s="7" t="s">
        <v>107</v>
      </c>
      <c r="B146" s="7" t="s">
        <v>17</v>
      </c>
      <c r="C146" s="7" t="s">
        <v>18</v>
      </c>
    </row>
    <row r="147" spans="1:3">
      <c r="A147" s="8" t="s">
        <v>108</v>
      </c>
      <c r="B147" s="8">
        <f>COUNTIF('Form Responses 1'!$Y$2:$Y$51,A147)</f>
        <v>15</v>
      </c>
      <c r="C147" s="9">
        <f>B147/$B$7</f>
        <v>0.30612244897959184</v>
      </c>
    </row>
    <row r="148" spans="1:3">
      <c r="A148" s="8" t="s">
        <v>109</v>
      </c>
      <c r="B148" s="8">
        <f>COUNTIF('Form Responses 1'!$Y$2:$Y$51,A148)</f>
        <v>23</v>
      </c>
      <c r="C148" s="9">
        <f>B148/$B$7</f>
        <v>0.46938775510204084</v>
      </c>
    </row>
    <row r="149" spans="1:3">
      <c r="A149" s="8" t="s">
        <v>110</v>
      </c>
      <c r="B149" s="8">
        <f>COUNTIF('Form Responses 1'!$Y$2:$Y$51,A149)</f>
        <v>7</v>
      </c>
      <c r="C149" s="9">
        <f>B149/$B$7</f>
        <v>0.14285714285714285</v>
      </c>
    </row>
    <row r="150" spans="1:3">
      <c r="A150" s="8" t="s">
        <v>99</v>
      </c>
      <c r="B150" s="8">
        <f>COUNTIF('Form Responses 1'!$Y$2:$Y$51,A150)</f>
        <v>4</v>
      </c>
      <c r="C150" s="9">
        <f>B150/$B$7</f>
        <v>8.1632653061224483E-2</v>
      </c>
    </row>
    <row r="152" spans="1:3">
      <c r="A152" s="7" t="s">
        <v>111</v>
      </c>
      <c r="B152" s="7" t="s">
        <v>17</v>
      </c>
      <c r="C152" s="7" t="s">
        <v>18</v>
      </c>
    </row>
    <row r="153" spans="1:3">
      <c r="A153" s="8" t="s">
        <v>112</v>
      </c>
      <c r="B153" s="8">
        <f>COUNTIF('Form Responses 1'!$Z$2:$Z$51,A153)</f>
        <v>16</v>
      </c>
      <c r="C153" s="9">
        <f t="shared" ref="C153:C161" si="4">B153/$B$7</f>
        <v>0.32653061224489793</v>
      </c>
    </row>
    <row r="154" spans="1:3">
      <c r="A154" s="8" t="s">
        <v>113</v>
      </c>
      <c r="B154" s="8">
        <f>COUNTIF('Form Responses 1'!$Z$2:$Z$51,A154)</f>
        <v>6</v>
      </c>
      <c r="C154" s="9">
        <f t="shared" si="4"/>
        <v>0.12244897959183673</v>
      </c>
    </row>
    <row r="155" spans="1:3">
      <c r="A155" s="8" t="s">
        <v>114</v>
      </c>
      <c r="B155" s="8">
        <f>COUNTIF('Form Responses 1'!$Z$2:$Z$51,A155)</f>
        <v>10</v>
      </c>
      <c r="C155" s="9">
        <f t="shared" si="4"/>
        <v>0.20408163265306123</v>
      </c>
    </row>
    <row r="156" spans="1:3">
      <c r="A156" s="8" t="s">
        <v>115</v>
      </c>
      <c r="B156" s="8">
        <f>COUNTIF('Form Responses 1'!$Z$2:$Z$51,A156)</f>
        <v>3</v>
      </c>
      <c r="C156" s="9">
        <f t="shared" si="4"/>
        <v>6.1224489795918366E-2</v>
      </c>
    </row>
    <row r="157" spans="1:3">
      <c r="A157" s="8" t="s">
        <v>116</v>
      </c>
      <c r="B157" s="8">
        <f>COUNTIF('Form Responses 1'!$Z$2:$Z$51,A157)</f>
        <v>5</v>
      </c>
      <c r="C157" s="9">
        <f t="shared" si="4"/>
        <v>0.10204081632653061</v>
      </c>
    </row>
    <row r="158" spans="1:3">
      <c r="A158" s="8" t="s">
        <v>117</v>
      </c>
      <c r="B158" s="8">
        <f>COUNTIF('Form Responses 1'!$Z$2:$Z$51,A158)</f>
        <v>1</v>
      </c>
      <c r="C158" s="9">
        <f t="shared" si="4"/>
        <v>2.0408163265306121E-2</v>
      </c>
    </row>
    <row r="159" spans="1:3">
      <c r="A159" s="8" t="s">
        <v>118</v>
      </c>
      <c r="B159" s="8">
        <f>COUNTIF('Form Responses 1'!$Z$2:$Z$51,A159)</f>
        <v>6</v>
      </c>
      <c r="C159" s="9">
        <f t="shared" si="4"/>
        <v>0.12244897959183673</v>
      </c>
    </row>
    <row r="160" spans="1:3">
      <c r="A160" s="8" t="s">
        <v>119</v>
      </c>
      <c r="B160" s="8">
        <f>COUNTIF('Form Responses 1'!$Z$2:$Z$51,A160)</f>
        <v>1</v>
      </c>
      <c r="C160" s="9">
        <f t="shared" si="4"/>
        <v>2.0408163265306121E-2</v>
      </c>
    </row>
    <row r="161" spans="1:3">
      <c r="A161" s="10" t="s">
        <v>34</v>
      </c>
      <c r="B161" s="8">
        <f>COUNTA('Form Responses 1'!$Z$2:$Z$51)-SUM(B153:B160)</f>
        <v>1</v>
      </c>
      <c r="C161" s="9">
        <f t="shared" si="4"/>
        <v>2.0408163265306121E-2</v>
      </c>
    </row>
    <row r="162" spans="1:3">
      <c r="A162" s="11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8" customWidth="1"/>
    <col min="2" max="2" width="22" customWidth="1"/>
    <col min="3" max="4" width="10" customWidth="1"/>
    <col min="5" max="5" width="26" customWidth="1"/>
    <col min="6" max="6" width="22" customWidth="1"/>
    <col min="7" max="7" width="26" customWidth="1"/>
    <col min="8" max="9" width="10" customWidth="1"/>
    <col min="10" max="10" width="14" customWidth="1"/>
    <col min="11" max="12" width="40" customWidth="1"/>
    <col min="13" max="13" width="24" customWidth="1"/>
    <col min="14" max="14" width="14" customWidth="1"/>
    <col min="15" max="15" width="24" customWidth="1"/>
    <col min="16" max="17" width="32" customWidth="1"/>
    <col min="18" max="19" width="9" customWidth="1"/>
    <col min="20" max="20" width="20" customWidth="1"/>
    <col min="21" max="21" width="10" customWidth="1"/>
    <col min="22" max="22" width="20" customWidth="1"/>
    <col min="23" max="23" width="26" customWidth="1"/>
    <col min="24" max="26" width="30" customWidth="1"/>
    <col min="27" max="27" width="50" customWidth="1"/>
  </cols>
  <sheetData>
    <row r="1" spans="1:27" ht="90" customHeight="1">
      <c r="A1" s="13" t="s">
        <v>121</v>
      </c>
      <c r="B1" s="13" t="s">
        <v>122</v>
      </c>
      <c r="C1" s="13" t="s">
        <v>123</v>
      </c>
      <c r="D1" s="13" t="s">
        <v>124</v>
      </c>
      <c r="E1" s="13" t="s">
        <v>125</v>
      </c>
      <c r="F1" s="13" t="s">
        <v>126</v>
      </c>
      <c r="G1" s="13" t="s">
        <v>127</v>
      </c>
      <c r="H1" s="13" t="s">
        <v>128</v>
      </c>
      <c r="I1" s="13" t="s">
        <v>129</v>
      </c>
      <c r="J1" s="13" t="s">
        <v>130</v>
      </c>
      <c r="K1" s="13" t="s">
        <v>131</v>
      </c>
      <c r="L1" s="13" t="s">
        <v>132</v>
      </c>
      <c r="M1" s="13" t="s">
        <v>133</v>
      </c>
      <c r="N1" s="13" t="s">
        <v>134</v>
      </c>
      <c r="O1" s="13" t="s">
        <v>135</v>
      </c>
      <c r="P1" s="13" t="s">
        <v>136</v>
      </c>
      <c r="Q1" s="13" t="s">
        <v>137</v>
      </c>
      <c r="R1" s="13" t="s">
        <v>138</v>
      </c>
      <c r="S1" s="13" t="s">
        <v>139</v>
      </c>
      <c r="T1" s="13" t="s">
        <v>140</v>
      </c>
      <c r="U1" s="13" t="s">
        <v>141</v>
      </c>
      <c r="V1" s="13" t="s">
        <v>142</v>
      </c>
      <c r="W1" s="13" t="s">
        <v>143</v>
      </c>
      <c r="X1" s="13" t="s">
        <v>144</v>
      </c>
      <c r="Y1" s="13" t="s">
        <v>145</v>
      </c>
      <c r="Z1" s="13" t="s">
        <v>146</v>
      </c>
      <c r="AA1" s="13" t="s">
        <v>147</v>
      </c>
    </row>
    <row r="2" spans="1:27" ht="42.75">
      <c r="A2" s="14">
        <v>46298.818344907399</v>
      </c>
      <c r="B2" s="15" t="s">
        <v>148</v>
      </c>
      <c r="C2" s="15" t="s">
        <v>19</v>
      </c>
      <c r="D2" s="15" t="s">
        <v>25</v>
      </c>
      <c r="E2" s="15" t="s">
        <v>30</v>
      </c>
      <c r="F2" s="15" t="s">
        <v>149</v>
      </c>
      <c r="G2" s="15" t="s">
        <v>150</v>
      </c>
      <c r="H2" s="15">
        <v>180</v>
      </c>
      <c r="I2" s="15">
        <v>260</v>
      </c>
      <c r="J2" s="15" t="s">
        <v>40</v>
      </c>
      <c r="K2" s="15" t="s">
        <v>151</v>
      </c>
      <c r="L2" s="15" t="s">
        <v>152</v>
      </c>
      <c r="M2" s="15" t="s">
        <v>55</v>
      </c>
      <c r="N2" s="15" t="s">
        <v>64</v>
      </c>
      <c r="O2" s="15" t="s">
        <v>68</v>
      </c>
      <c r="P2" s="15" t="s">
        <v>74</v>
      </c>
      <c r="Q2" s="15" t="s">
        <v>153</v>
      </c>
      <c r="R2" s="15">
        <v>5</v>
      </c>
      <c r="S2" s="15">
        <v>4</v>
      </c>
      <c r="T2" s="15" t="s">
        <v>89</v>
      </c>
      <c r="U2" s="15">
        <v>350</v>
      </c>
      <c r="V2" s="15" t="s">
        <v>90</v>
      </c>
      <c r="W2" s="15" t="s">
        <v>98</v>
      </c>
      <c r="X2" s="15" t="s">
        <v>101</v>
      </c>
      <c r="Y2" s="15" t="s">
        <v>109</v>
      </c>
      <c r="Z2" s="15" t="s">
        <v>112</v>
      </c>
      <c r="AA2" s="15" t="s">
        <v>154</v>
      </c>
    </row>
    <row r="3" spans="1:27" ht="42.75">
      <c r="A3" s="14">
        <v>46298.8354398148</v>
      </c>
      <c r="B3" s="15" t="s">
        <v>148</v>
      </c>
      <c r="C3" s="15" t="s">
        <v>19</v>
      </c>
      <c r="D3" s="15" t="s">
        <v>26</v>
      </c>
      <c r="E3" s="15" t="s">
        <v>30</v>
      </c>
      <c r="F3" s="15" t="s">
        <v>155</v>
      </c>
      <c r="G3" s="15" t="s">
        <v>156</v>
      </c>
      <c r="H3" s="15">
        <v>180</v>
      </c>
      <c r="I3" s="15">
        <v>330</v>
      </c>
      <c r="J3" s="15" t="s">
        <v>41</v>
      </c>
      <c r="K3" s="15" t="s">
        <v>157</v>
      </c>
      <c r="L3" s="15" t="s">
        <v>158</v>
      </c>
      <c r="M3" s="15" t="s">
        <v>56</v>
      </c>
      <c r="N3" s="15" t="s">
        <v>64</v>
      </c>
      <c r="O3" s="15" t="s">
        <v>68</v>
      </c>
      <c r="P3" s="15" t="s">
        <v>75</v>
      </c>
      <c r="Q3" s="15" t="s">
        <v>80</v>
      </c>
      <c r="R3" s="15">
        <v>5</v>
      </c>
      <c r="S3" s="15">
        <v>5</v>
      </c>
      <c r="T3" s="15" t="s">
        <v>89</v>
      </c>
      <c r="U3" s="15">
        <v>400</v>
      </c>
      <c r="V3" s="15" t="s">
        <v>89</v>
      </c>
      <c r="W3" s="15" t="s">
        <v>98</v>
      </c>
      <c r="X3" s="15" t="s">
        <v>102</v>
      </c>
      <c r="Y3" s="15" t="s">
        <v>109</v>
      </c>
      <c r="Z3" s="15" t="s">
        <v>116</v>
      </c>
      <c r="AA3" s="15" t="s">
        <v>159</v>
      </c>
    </row>
    <row r="4" spans="1:27" ht="57">
      <c r="A4" s="14">
        <v>46298.8378240741</v>
      </c>
      <c r="B4" s="15" t="s">
        <v>148</v>
      </c>
      <c r="C4" s="15" t="s">
        <v>20</v>
      </c>
      <c r="D4" s="15" t="s">
        <v>25</v>
      </c>
      <c r="E4" s="15" t="s">
        <v>32</v>
      </c>
      <c r="F4" s="15" t="s">
        <v>160</v>
      </c>
      <c r="G4" s="15" t="s">
        <v>161</v>
      </c>
      <c r="H4" s="15">
        <v>340</v>
      </c>
      <c r="I4" s="15">
        <v>520</v>
      </c>
      <c r="J4" s="15" t="s">
        <v>40</v>
      </c>
      <c r="K4" s="15" t="s">
        <v>162</v>
      </c>
      <c r="L4" s="15" t="s">
        <v>163</v>
      </c>
      <c r="M4" s="15" t="s">
        <v>55</v>
      </c>
      <c r="N4" s="15" t="s">
        <v>65</v>
      </c>
      <c r="O4" s="15" t="s">
        <v>72</v>
      </c>
      <c r="P4" s="15" t="s">
        <v>77</v>
      </c>
      <c r="Q4" s="15" t="s">
        <v>164</v>
      </c>
      <c r="R4" s="15">
        <v>3</v>
      </c>
      <c r="S4" s="15">
        <v>4</v>
      </c>
      <c r="T4" s="15" t="s">
        <v>91</v>
      </c>
      <c r="U4" s="15">
        <v>300</v>
      </c>
      <c r="V4" s="15" t="s">
        <v>91</v>
      </c>
      <c r="W4" s="15" t="s">
        <v>96</v>
      </c>
      <c r="X4" s="15" t="s">
        <v>104</v>
      </c>
      <c r="Y4" s="15" t="s">
        <v>110</v>
      </c>
      <c r="Z4" s="15" t="s">
        <v>113</v>
      </c>
      <c r="AA4" s="15" t="s">
        <v>165</v>
      </c>
    </row>
    <row r="5" spans="1:27" ht="42.75">
      <c r="A5" s="14">
        <v>46298.857534722199</v>
      </c>
      <c r="B5" s="15" t="s">
        <v>148</v>
      </c>
      <c r="C5" s="15" t="s">
        <v>19</v>
      </c>
      <c r="D5" s="15" t="s">
        <v>26</v>
      </c>
      <c r="E5" s="15" t="s">
        <v>30</v>
      </c>
      <c r="F5" s="15" t="s">
        <v>166</v>
      </c>
      <c r="G5" s="15" t="s">
        <v>167</v>
      </c>
      <c r="H5" s="15">
        <v>180</v>
      </c>
      <c r="I5" s="15">
        <v>350</v>
      </c>
      <c r="J5" s="15" t="s">
        <v>40</v>
      </c>
      <c r="K5" s="15" t="s">
        <v>168</v>
      </c>
      <c r="L5" s="15" t="s">
        <v>169</v>
      </c>
      <c r="M5" s="15" t="s">
        <v>56</v>
      </c>
      <c r="N5" s="15" t="s">
        <v>64</v>
      </c>
      <c r="O5" s="15" t="s">
        <v>68</v>
      </c>
      <c r="P5" s="15" t="s">
        <v>76</v>
      </c>
      <c r="Q5" s="15" t="s">
        <v>170</v>
      </c>
      <c r="R5" s="15">
        <v>4</v>
      </c>
      <c r="S5" s="15">
        <v>5</v>
      </c>
      <c r="T5" s="15" t="s">
        <v>90</v>
      </c>
      <c r="U5" s="15">
        <v>300</v>
      </c>
      <c r="V5" s="15" t="s">
        <v>90</v>
      </c>
      <c r="W5" s="15" t="s">
        <v>97</v>
      </c>
      <c r="X5" s="15" t="s">
        <v>101</v>
      </c>
      <c r="Y5" s="15" t="s">
        <v>109</v>
      </c>
      <c r="Z5" s="15" t="s">
        <v>112</v>
      </c>
      <c r="AA5" s="15" t="s">
        <v>171</v>
      </c>
    </row>
    <row r="6" spans="1:27" ht="42.75">
      <c r="A6" s="14">
        <v>46298.860416666699</v>
      </c>
      <c r="B6" s="15" t="s">
        <v>148</v>
      </c>
      <c r="C6" s="15" t="s">
        <v>19</v>
      </c>
      <c r="D6" s="15" t="s">
        <v>25</v>
      </c>
      <c r="E6" s="15" t="s">
        <v>32</v>
      </c>
      <c r="F6" s="15" t="s">
        <v>172</v>
      </c>
      <c r="G6" s="15" t="s">
        <v>173</v>
      </c>
      <c r="H6" s="15">
        <v>340</v>
      </c>
      <c r="I6" s="15">
        <v>450</v>
      </c>
      <c r="J6" s="15" t="s">
        <v>41</v>
      </c>
      <c r="K6" s="15" t="s">
        <v>174</v>
      </c>
      <c r="L6" s="15" t="s">
        <v>175</v>
      </c>
      <c r="M6" s="15" t="s">
        <v>55</v>
      </c>
      <c r="N6" s="15" t="s">
        <v>65</v>
      </c>
      <c r="O6" s="15" t="s">
        <v>72</v>
      </c>
      <c r="P6" s="15" t="s">
        <v>74</v>
      </c>
      <c r="Q6" s="15" t="s">
        <v>81</v>
      </c>
      <c r="R6" s="15">
        <v>4</v>
      </c>
      <c r="S6" s="15">
        <v>3</v>
      </c>
      <c r="T6" s="15" t="s">
        <v>90</v>
      </c>
      <c r="U6" s="15">
        <v>320</v>
      </c>
      <c r="V6" s="15" t="s">
        <v>90</v>
      </c>
      <c r="W6" s="15" t="s">
        <v>96</v>
      </c>
      <c r="X6" s="15" t="s">
        <v>101</v>
      </c>
      <c r="Y6" s="15" t="s">
        <v>108</v>
      </c>
      <c r="Z6" s="15" t="s">
        <v>114</v>
      </c>
      <c r="AA6" s="15"/>
    </row>
    <row r="7" spans="1:27" ht="57">
      <c r="A7" s="14">
        <v>46298.883229166699</v>
      </c>
      <c r="B7" s="15" t="s">
        <v>148</v>
      </c>
      <c r="C7" s="15" t="s">
        <v>20</v>
      </c>
      <c r="D7" s="15" t="s">
        <v>26</v>
      </c>
      <c r="E7" s="15" t="s">
        <v>31</v>
      </c>
      <c r="F7" s="15" t="s">
        <v>176</v>
      </c>
      <c r="G7" s="15" t="s">
        <v>177</v>
      </c>
      <c r="H7" s="15"/>
      <c r="I7" s="15"/>
      <c r="J7" s="15" t="s">
        <v>42</v>
      </c>
      <c r="K7" s="15" t="s">
        <v>178</v>
      </c>
      <c r="L7" s="15" t="s">
        <v>179</v>
      </c>
      <c r="M7" s="15" t="s">
        <v>61</v>
      </c>
      <c r="N7" s="15" t="s">
        <v>64</v>
      </c>
      <c r="O7" s="15" t="s">
        <v>68</v>
      </c>
      <c r="P7" s="15" t="s">
        <v>180</v>
      </c>
      <c r="Q7" s="15" t="s">
        <v>80</v>
      </c>
      <c r="R7" s="15">
        <v>4</v>
      </c>
      <c r="S7" s="15">
        <v>4</v>
      </c>
      <c r="T7" s="15" t="s">
        <v>90</v>
      </c>
      <c r="U7" s="15">
        <v>250</v>
      </c>
      <c r="V7" s="15" t="s">
        <v>91</v>
      </c>
      <c r="W7" s="15" t="s">
        <v>96</v>
      </c>
      <c r="X7" s="15" t="s">
        <v>104</v>
      </c>
      <c r="Y7" s="15" t="s">
        <v>108</v>
      </c>
      <c r="Z7" s="15" t="s">
        <v>114</v>
      </c>
      <c r="AA7" s="15" t="s">
        <v>181</v>
      </c>
    </row>
    <row r="8" spans="1:27" ht="42.75">
      <c r="A8" s="14">
        <v>46298.901400463001</v>
      </c>
      <c r="B8" s="15" t="s">
        <v>148</v>
      </c>
      <c r="C8" s="15" t="s">
        <v>19</v>
      </c>
      <c r="D8" s="15" t="s">
        <v>25</v>
      </c>
      <c r="E8" s="15" t="s">
        <v>30</v>
      </c>
      <c r="F8" s="15" t="s">
        <v>182</v>
      </c>
      <c r="G8" s="15" t="s">
        <v>183</v>
      </c>
      <c r="H8" s="15">
        <v>180</v>
      </c>
      <c r="I8" s="15">
        <v>300</v>
      </c>
      <c r="J8" s="15" t="s">
        <v>40</v>
      </c>
      <c r="K8" s="15" t="s">
        <v>184</v>
      </c>
      <c r="L8" s="15" t="s">
        <v>185</v>
      </c>
      <c r="M8" s="15" t="s">
        <v>56</v>
      </c>
      <c r="N8" s="15" t="s">
        <v>64</v>
      </c>
      <c r="O8" s="15" t="s">
        <v>68</v>
      </c>
      <c r="P8" s="15" t="s">
        <v>186</v>
      </c>
      <c r="Q8" s="15" t="s">
        <v>153</v>
      </c>
      <c r="R8" s="15">
        <v>5</v>
      </c>
      <c r="S8" s="15">
        <v>5</v>
      </c>
      <c r="T8" s="15" t="s">
        <v>89</v>
      </c>
      <c r="U8" s="15">
        <v>380</v>
      </c>
      <c r="V8" s="15" t="s">
        <v>89</v>
      </c>
      <c r="W8" s="15" t="s">
        <v>98</v>
      </c>
      <c r="X8" s="15" t="s">
        <v>102</v>
      </c>
      <c r="Y8" s="15" t="s">
        <v>109</v>
      </c>
      <c r="Z8" s="15" t="s">
        <v>115</v>
      </c>
      <c r="AA8" s="15" t="s">
        <v>187</v>
      </c>
    </row>
    <row r="9" spans="1:27" ht="42.75">
      <c r="A9" s="14">
        <v>46298.936539351896</v>
      </c>
      <c r="B9" s="15" t="s">
        <v>148</v>
      </c>
      <c r="C9" s="15" t="s">
        <v>21</v>
      </c>
      <c r="D9" s="15" t="s">
        <v>26</v>
      </c>
      <c r="E9" s="15" t="s">
        <v>33</v>
      </c>
      <c r="F9" s="15" t="s">
        <v>188</v>
      </c>
      <c r="G9" s="15" t="s">
        <v>189</v>
      </c>
      <c r="H9" s="15">
        <v>340</v>
      </c>
      <c r="I9" s="15">
        <v>580</v>
      </c>
      <c r="J9" s="15" t="s">
        <v>40</v>
      </c>
      <c r="K9" s="15" t="s">
        <v>50</v>
      </c>
      <c r="L9" s="15" t="s">
        <v>190</v>
      </c>
      <c r="M9" s="15" t="s">
        <v>55</v>
      </c>
      <c r="N9" s="15" t="s">
        <v>65</v>
      </c>
      <c r="O9" s="15" t="s">
        <v>72</v>
      </c>
      <c r="P9" s="15" t="s">
        <v>74</v>
      </c>
      <c r="Q9" s="15" t="s">
        <v>191</v>
      </c>
      <c r="R9" s="15">
        <v>3</v>
      </c>
      <c r="S9" s="15">
        <v>3</v>
      </c>
      <c r="T9" s="15" t="s">
        <v>91</v>
      </c>
      <c r="U9" s="15">
        <v>400</v>
      </c>
      <c r="V9" s="15" t="s">
        <v>91</v>
      </c>
      <c r="W9" s="15" t="s">
        <v>97</v>
      </c>
      <c r="X9" s="15" t="s">
        <v>101</v>
      </c>
      <c r="Y9" s="15" t="s">
        <v>108</v>
      </c>
      <c r="Z9" s="15" t="s">
        <v>118</v>
      </c>
      <c r="AA9" s="15" t="s">
        <v>192</v>
      </c>
    </row>
    <row r="10" spans="1:27">
      <c r="A10" s="14">
        <v>46298.978148148199</v>
      </c>
      <c r="B10" s="15" t="s">
        <v>65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42.75">
      <c r="A11" s="14">
        <v>46299.628194444398</v>
      </c>
      <c r="B11" s="15" t="s">
        <v>148</v>
      </c>
      <c r="C11" s="15" t="s">
        <v>19</v>
      </c>
      <c r="D11" s="15" t="s">
        <v>25</v>
      </c>
      <c r="E11" s="15" t="s">
        <v>30</v>
      </c>
      <c r="F11" s="15" t="s">
        <v>193</v>
      </c>
      <c r="G11" s="15" t="s">
        <v>194</v>
      </c>
      <c r="H11" s="15">
        <v>6</v>
      </c>
      <c r="I11" s="15">
        <v>5</v>
      </c>
      <c r="J11" s="15" t="s">
        <v>40</v>
      </c>
      <c r="K11" s="15" t="s">
        <v>195</v>
      </c>
      <c r="L11" s="15" t="s">
        <v>196</v>
      </c>
      <c r="M11" s="15" t="s">
        <v>55</v>
      </c>
      <c r="N11" s="15" t="s">
        <v>64</v>
      </c>
      <c r="O11" s="15" t="s">
        <v>68</v>
      </c>
      <c r="P11" s="15" t="s">
        <v>186</v>
      </c>
      <c r="Q11" s="15" t="s">
        <v>170</v>
      </c>
      <c r="R11" s="15">
        <v>5</v>
      </c>
      <c r="S11" s="15">
        <v>4</v>
      </c>
      <c r="T11" s="15" t="s">
        <v>90</v>
      </c>
      <c r="U11" s="15">
        <v>300</v>
      </c>
      <c r="V11" s="15" t="s">
        <v>90</v>
      </c>
      <c r="W11" s="15" t="s">
        <v>96</v>
      </c>
      <c r="X11" s="15" t="s">
        <v>104</v>
      </c>
      <c r="Y11" s="15" t="s">
        <v>109</v>
      </c>
      <c r="Z11" s="15" t="s">
        <v>114</v>
      </c>
      <c r="AA11" s="15" t="s">
        <v>197</v>
      </c>
    </row>
    <row r="12" spans="1:27" ht="28.5">
      <c r="A12" s="14">
        <v>46299.649988425903</v>
      </c>
      <c r="B12" s="15" t="s">
        <v>148</v>
      </c>
      <c r="C12" s="15" t="s">
        <v>19</v>
      </c>
      <c r="D12" s="15" t="s">
        <v>26</v>
      </c>
      <c r="E12" s="15" t="s">
        <v>32</v>
      </c>
      <c r="F12" s="15" t="s">
        <v>198</v>
      </c>
      <c r="G12" s="15" t="s">
        <v>199</v>
      </c>
      <c r="H12" s="15">
        <v>180</v>
      </c>
      <c r="I12" s="15">
        <v>320</v>
      </c>
      <c r="J12" s="15" t="s">
        <v>42</v>
      </c>
      <c r="K12" s="15" t="s">
        <v>51</v>
      </c>
      <c r="L12" s="15"/>
      <c r="M12" s="15" t="s">
        <v>56</v>
      </c>
      <c r="N12" s="15" t="s">
        <v>65</v>
      </c>
      <c r="O12" s="15" t="s">
        <v>72</v>
      </c>
      <c r="P12" s="15" t="s">
        <v>74</v>
      </c>
      <c r="Q12" s="15" t="s">
        <v>84</v>
      </c>
      <c r="R12" s="15">
        <v>3</v>
      </c>
      <c r="S12" s="15">
        <v>4</v>
      </c>
      <c r="T12" s="15" t="s">
        <v>92</v>
      </c>
      <c r="U12" s="15">
        <v>200</v>
      </c>
      <c r="V12" s="15" t="s">
        <v>92</v>
      </c>
      <c r="W12" s="15" t="s">
        <v>99</v>
      </c>
      <c r="X12" s="15" t="s">
        <v>105</v>
      </c>
      <c r="Y12" s="15" t="s">
        <v>99</v>
      </c>
      <c r="Z12" s="15" t="s">
        <v>118</v>
      </c>
      <c r="AA12" s="15" t="s">
        <v>200</v>
      </c>
    </row>
    <row r="13" spans="1:27" ht="57">
      <c r="A13" s="14">
        <v>46299.676759259302</v>
      </c>
      <c r="B13" s="15" t="s">
        <v>148</v>
      </c>
      <c r="C13" s="15" t="s">
        <v>20</v>
      </c>
      <c r="D13" s="15" t="s">
        <v>25</v>
      </c>
      <c r="E13" s="15" t="s">
        <v>31</v>
      </c>
      <c r="F13" s="15" t="s">
        <v>201</v>
      </c>
      <c r="G13" s="15" t="s">
        <v>202</v>
      </c>
      <c r="H13" s="15">
        <v>340</v>
      </c>
      <c r="I13" s="15">
        <v>580</v>
      </c>
      <c r="J13" s="15" t="s">
        <v>40</v>
      </c>
      <c r="K13" s="15" t="s">
        <v>203</v>
      </c>
      <c r="L13" s="15" t="s">
        <v>204</v>
      </c>
      <c r="M13" s="15" t="s">
        <v>55</v>
      </c>
      <c r="N13" s="15" t="s">
        <v>64</v>
      </c>
      <c r="O13" s="15" t="s">
        <v>68</v>
      </c>
      <c r="P13" s="15" t="s">
        <v>74</v>
      </c>
      <c r="Q13" s="15" t="s">
        <v>205</v>
      </c>
      <c r="R13" s="15">
        <v>5</v>
      </c>
      <c r="S13" s="15">
        <v>5</v>
      </c>
      <c r="T13" s="15" t="s">
        <v>89</v>
      </c>
      <c r="U13" s="15">
        <v>500</v>
      </c>
      <c r="V13" s="15" t="s">
        <v>89</v>
      </c>
      <c r="W13" s="15" t="s">
        <v>98</v>
      </c>
      <c r="X13" s="15" t="s">
        <v>101</v>
      </c>
      <c r="Y13" s="15" t="s">
        <v>109</v>
      </c>
      <c r="Z13" s="15" t="s">
        <v>112</v>
      </c>
      <c r="AA13" s="15" t="s">
        <v>206</v>
      </c>
    </row>
    <row r="14" spans="1:27" ht="28.5">
      <c r="A14" s="14">
        <v>46299.895613425899</v>
      </c>
      <c r="B14" s="15" t="s">
        <v>148</v>
      </c>
      <c r="C14" s="15" t="s">
        <v>19</v>
      </c>
      <c r="D14" s="15" t="s">
        <v>26</v>
      </c>
      <c r="E14" s="15" t="s">
        <v>30</v>
      </c>
      <c r="F14" s="15" t="s">
        <v>207</v>
      </c>
      <c r="G14" s="15" t="s">
        <v>208</v>
      </c>
      <c r="H14" s="15"/>
      <c r="I14" s="15"/>
      <c r="J14" s="15" t="s">
        <v>39</v>
      </c>
      <c r="K14" s="15" t="s">
        <v>209</v>
      </c>
      <c r="L14" s="15" t="s">
        <v>210</v>
      </c>
      <c r="M14" s="15" t="s">
        <v>56</v>
      </c>
      <c r="N14" s="15" t="s">
        <v>64</v>
      </c>
      <c r="O14" s="15" t="s">
        <v>71</v>
      </c>
      <c r="P14" s="15" t="s">
        <v>77</v>
      </c>
      <c r="Q14" s="15" t="s">
        <v>81</v>
      </c>
      <c r="R14" s="15">
        <v>4</v>
      </c>
      <c r="S14" s="15">
        <v>4</v>
      </c>
      <c r="T14" s="15" t="s">
        <v>90</v>
      </c>
      <c r="U14" s="15">
        <v>250</v>
      </c>
      <c r="V14" s="15" t="s">
        <v>91</v>
      </c>
      <c r="W14" s="15" t="s">
        <v>96</v>
      </c>
      <c r="X14" s="15" t="s">
        <v>104</v>
      </c>
      <c r="Y14" s="15" t="s">
        <v>108</v>
      </c>
      <c r="Z14" s="15" t="s">
        <v>114</v>
      </c>
      <c r="AA14" s="15"/>
    </row>
    <row r="15" spans="1:27" ht="57">
      <c r="A15" s="14">
        <v>46299.896527777797</v>
      </c>
      <c r="B15" s="15" t="s">
        <v>148</v>
      </c>
      <c r="C15" s="15" t="s">
        <v>19</v>
      </c>
      <c r="D15" s="15" t="s">
        <v>25</v>
      </c>
      <c r="E15" s="15" t="s">
        <v>30</v>
      </c>
      <c r="F15" s="15" t="s">
        <v>211</v>
      </c>
      <c r="G15" s="15" t="s">
        <v>212</v>
      </c>
      <c r="H15" s="15">
        <v>180</v>
      </c>
      <c r="I15" s="15">
        <v>280</v>
      </c>
      <c r="J15" s="15" t="s">
        <v>40</v>
      </c>
      <c r="K15" s="15" t="s">
        <v>213</v>
      </c>
      <c r="L15" s="15" t="s">
        <v>214</v>
      </c>
      <c r="M15" s="15" t="s">
        <v>56</v>
      </c>
      <c r="N15" s="15" t="s">
        <v>64</v>
      </c>
      <c r="O15" s="15" t="s">
        <v>68</v>
      </c>
      <c r="P15" s="15" t="s">
        <v>186</v>
      </c>
      <c r="Q15" s="15" t="s">
        <v>205</v>
      </c>
      <c r="R15" s="15">
        <v>5</v>
      </c>
      <c r="S15" s="15">
        <v>5</v>
      </c>
      <c r="T15" s="15" t="s">
        <v>89</v>
      </c>
      <c r="U15" s="15">
        <v>400</v>
      </c>
      <c r="V15" s="15" t="s">
        <v>89</v>
      </c>
      <c r="W15" s="15" t="s">
        <v>98</v>
      </c>
      <c r="X15" s="15" t="s">
        <v>101</v>
      </c>
      <c r="Y15" s="15" t="s">
        <v>109</v>
      </c>
      <c r="Z15" s="15" t="s">
        <v>112</v>
      </c>
      <c r="AA15" s="15" t="s">
        <v>215</v>
      </c>
    </row>
    <row r="16" spans="1:27" ht="42.75">
      <c r="A16" s="14">
        <v>46299.933379629598</v>
      </c>
      <c r="B16" s="15" t="s">
        <v>148</v>
      </c>
      <c r="C16" s="15" t="s">
        <v>20</v>
      </c>
      <c r="D16" s="15" t="s">
        <v>26</v>
      </c>
      <c r="E16" s="15" t="s">
        <v>32</v>
      </c>
      <c r="F16" s="15" t="s">
        <v>216</v>
      </c>
      <c r="G16" s="15" t="s">
        <v>217</v>
      </c>
      <c r="H16" s="15">
        <v>340</v>
      </c>
      <c r="I16" s="15">
        <v>560</v>
      </c>
      <c r="J16" s="15" t="s">
        <v>41</v>
      </c>
      <c r="K16" s="15" t="s">
        <v>218</v>
      </c>
      <c r="L16" s="15" t="s">
        <v>61</v>
      </c>
      <c r="M16" s="15" t="s">
        <v>55</v>
      </c>
      <c r="N16" s="15" t="s">
        <v>65</v>
      </c>
      <c r="O16" s="15" t="s">
        <v>72</v>
      </c>
      <c r="P16" s="15" t="s">
        <v>74</v>
      </c>
      <c r="Q16" s="15" t="s">
        <v>80</v>
      </c>
      <c r="R16" s="15">
        <v>4</v>
      </c>
      <c r="S16" s="15">
        <v>3</v>
      </c>
      <c r="T16" s="15" t="s">
        <v>90</v>
      </c>
      <c r="U16" s="15">
        <v>350</v>
      </c>
      <c r="V16" s="15" t="s">
        <v>90</v>
      </c>
      <c r="W16" s="15" t="s">
        <v>97</v>
      </c>
      <c r="X16" s="15" t="s">
        <v>101</v>
      </c>
      <c r="Y16" s="15" t="s">
        <v>108</v>
      </c>
      <c r="Z16" s="15" t="s">
        <v>113</v>
      </c>
      <c r="AA16" s="15" t="s">
        <v>219</v>
      </c>
    </row>
    <row r="17" spans="1:27" ht="42.75">
      <c r="A17" s="14">
        <v>46299.934097222198</v>
      </c>
      <c r="B17" s="15" t="s">
        <v>148</v>
      </c>
      <c r="C17" s="15" t="s">
        <v>19</v>
      </c>
      <c r="D17" s="15" t="s">
        <v>25</v>
      </c>
      <c r="E17" s="15" t="s">
        <v>32</v>
      </c>
      <c r="F17" s="15" t="s">
        <v>220</v>
      </c>
      <c r="G17" s="15" t="s">
        <v>221</v>
      </c>
      <c r="H17" s="15">
        <v>175</v>
      </c>
      <c r="I17" s="15">
        <v>550</v>
      </c>
      <c r="J17" s="15" t="s">
        <v>40</v>
      </c>
      <c r="K17" s="15" t="s">
        <v>222</v>
      </c>
      <c r="L17" s="15" t="s">
        <v>223</v>
      </c>
      <c r="M17" s="15" t="s">
        <v>55</v>
      </c>
      <c r="N17" s="15" t="s">
        <v>65</v>
      </c>
      <c r="O17" s="15" t="s">
        <v>72</v>
      </c>
      <c r="P17" s="15" t="s">
        <v>51</v>
      </c>
      <c r="Q17" s="15" t="s">
        <v>153</v>
      </c>
      <c r="R17" s="15">
        <v>4</v>
      </c>
      <c r="S17" s="15">
        <v>4</v>
      </c>
      <c r="T17" s="15" t="s">
        <v>90</v>
      </c>
      <c r="U17" s="15"/>
      <c r="V17" s="15" t="s">
        <v>90</v>
      </c>
      <c r="W17" s="15" t="s">
        <v>96</v>
      </c>
      <c r="X17" s="15" t="s">
        <v>102</v>
      </c>
      <c r="Y17" s="15" t="s">
        <v>109</v>
      </c>
      <c r="Z17" s="15" t="s">
        <v>113</v>
      </c>
      <c r="AA17" s="15" t="s">
        <v>224</v>
      </c>
    </row>
    <row r="18" spans="1:27" ht="42.75">
      <c r="A18" s="14">
        <v>46299.9397453704</v>
      </c>
      <c r="B18" s="15" t="s">
        <v>148</v>
      </c>
      <c r="C18" s="15" t="s">
        <v>19</v>
      </c>
      <c r="D18" s="15" t="s">
        <v>26</v>
      </c>
      <c r="E18" s="15" t="s">
        <v>30</v>
      </c>
      <c r="F18" s="15" t="s">
        <v>225</v>
      </c>
      <c r="G18" s="15" t="s">
        <v>226</v>
      </c>
      <c r="H18" s="15">
        <v>80</v>
      </c>
      <c r="I18" s="15">
        <v>140</v>
      </c>
      <c r="J18" s="15" t="s">
        <v>41</v>
      </c>
      <c r="K18" s="15" t="s">
        <v>227</v>
      </c>
      <c r="L18" s="15" t="s">
        <v>228</v>
      </c>
      <c r="M18" s="15" t="s">
        <v>57</v>
      </c>
      <c r="N18" s="15" t="s">
        <v>64</v>
      </c>
      <c r="O18" s="15" t="s">
        <v>68</v>
      </c>
      <c r="P18" s="15" t="s">
        <v>74</v>
      </c>
      <c r="Q18" s="15" t="s">
        <v>80</v>
      </c>
      <c r="R18" s="15">
        <v>4</v>
      </c>
      <c r="S18" s="15">
        <v>5</v>
      </c>
      <c r="T18" s="15" t="s">
        <v>90</v>
      </c>
      <c r="U18" s="15">
        <v>280</v>
      </c>
      <c r="V18" s="15" t="s">
        <v>92</v>
      </c>
      <c r="W18" s="15" t="s">
        <v>96</v>
      </c>
      <c r="X18" s="15" t="s">
        <v>104</v>
      </c>
      <c r="Y18" s="15" t="s">
        <v>108</v>
      </c>
      <c r="Z18" s="15" t="s">
        <v>114</v>
      </c>
      <c r="AA18" s="15" t="s">
        <v>229</v>
      </c>
    </row>
    <row r="19" spans="1:27" ht="42.75">
      <c r="A19" s="14">
        <v>46299.9481018519</v>
      </c>
      <c r="B19" s="15" t="s">
        <v>148</v>
      </c>
      <c r="C19" s="15" t="s">
        <v>22</v>
      </c>
      <c r="D19" s="15" t="s">
        <v>25</v>
      </c>
      <c r="E19" s="15" t="s">
        <v>32</v>
      </c>
      <c r="F19" s="15" t="s">
        <v>230</v>
      </c>
      <c r="G19" s="15" t="s">
        <v>231</v>
      </c>
      <c r="H19" s="15">
        <v>340</v>
      </c>
      <c r="I19" s="15">
        <v>460</v>
      </c>
      <c r="J19" s="15" t="s">
        <v>40</v>
      </c>
      <c r="K19" s="15" t="s">
        <v>232</v>
      </c>
      <c r="L19" s="15" t="s">
        <v>233</v>
      </c>
      <c r="M19" s="15" t="s">
        <v>55</v>
      </c>
      <c r="N19" s="15" t="s">
        <v>65</v>
      </c>
      <c r="O19" s="15" t="s">
        <v>72</v>
      </c>
      <c r="P19" s="15" t="s">
        <v>234</v>
      </c>
      <c r="Q19" s="15" t="s">
        <v>81</v>
      </c>
      <c r="R19" s="15">
        <v>4</v>
      </c>
      <c r="S19" s="15">
        <v>4</v>
      </c>
      <c r="T19" s="15" t="s">
        <v>90</v>
      </c>
      <c r="U19" s="15">
        <v>400</v>
      </c>
      <c r="V19" s="15" t="s">
        <v>90</v>
      </c>
      <c r="W19" s="15" t="s">
        <v>98</v>
      </c>
      <c r="X19" s="15" t="s">
        <v>103</v>
      </c>
      <c r="Y19" s="15" t="s">
        <v>110</v>
      </c>
      <c r="Z19" s="15" t="s">
        <v>112</v>
      </c>
      <c r="AA19" s="15" t="s">
        <v>235</v>
      </c>
    </row>
    <row r="20" spans="1:27" ht="42.75">
      <c r="A20" s="14">
        <v>46299.996331018498</v>
      </c>
      <c r="B20" s="15" t="s">
        <v>148</v>
      </c>
      <c r="C20" s="15" t="s">
        <v>19</v>
      </c>
      <c r="D20" s="15" t="s">
        <v>26</v>
      </c>
      <c r="E20" s="15" t="s">
        <v>30</v>
      </c>
      <c r="F20" s="15" t="s">
        <v>236</v>
      </c>
      <c r="G20" s="15" t="s">
        <v>237</v>
      </c>
      <c r="H20" s="15">
        <v>180</v>
      </c>
      <c r="I20" s="15">
        <v>340</v>
      </c>
      <c r="J20" s="15" t="s">
        <v>41</v>
      </c>
      <c r="K20" s="15" t="s">
        <v>238</v>
      </c>
      <c r="L20" s="15" t="s">
        <v>239</v>
      </c>
      <c r="M20" s="15" t="s">
        <v>56</v>
      </c>
      <c r="N20" s="15" t="s">
        <v>64</v>
      </c>
      <c r="O20" s="15" t="s">
        <v>68</v>
      </c>
      <c r="P20" s="15" t="s">
        <v>75</v>
      </c>
      <c r="Q20" s="15" t="s">
        <v>80</v>
      </c>
      <c r="R20" s="15">
        <v>4</v>
      </c>
      <c r="S20" s="15">
        <v>3</v>
      </c>
      <c r="T20" s="15" t="s">
        <v>90</v>
      </c>
      <c r="U20" s="15">
        <v>300</v>
      </c>
      <c r="V20" s="15" t="s">
        <v>90</v>
      </c>
      <c r="W20" s="15" t="s">
        <v>97</v>
      </c>
      <c r="X20" s="15" t="s">
        <v>101</v>
      </c>
      <c r="Y20" s="15" t="s">
        <v>108</v>
      </c>
      <c r="Z20" s="15" t="s">
        <v>112</v>
      </c>
      <c r="AA20" s="15"/>
    </row>
    <row r="21" spans="1:27" ht="42.75">
      <c r="A21" s="14">
        <v>46300.384710648199</v>
      </c>
      <c r="B21" s="15" t="s">
        <v>148</v>
      </c>
      <c r="C21" s="15" t="s">
        <v>20</v>
      </c>
      <c r="D21" s="15" t="s">
        <v>25</v>
      </c>
      <c r="E21" s="15" t="s">
        <v>33</v>
      </c>
      <c r="F21" s="15" t="s">
        <v>240</v>
      </c>
      <c r="G21" s="15" t="s">
        <v>241</v>
      </c>
      <c r="H21" s="15">
        <v>340</v>
      </c>
      <c r="I21" s="15">
        <v>540</v>
      </c>
      <c r="J21" s="15" t="s">
        <v>40</v>
      </c>
      <c r="K21" s="15" t="s">
        <v>242</v>
      </c>
      <c r="L21" s="15"/>
      <c r="M21" s="15" t="s">
        <v>55</v>
      </c>
      <c r="N21" s="15" t="s">
        <v>64</v>
      </c>
      <c r="O21" s="15" t="s">
        <v>69</v>
      </c>
      <c r="P21" s="15" t="s">
        <v>77</v>
      </c>
      <c r="Q21" s="15" t="s">
        <v>80</v>
      </c>
      <c r="R21" s="15">
        <v>4</v>
      </c>
      <c r="S21" s="15">
        <v>5</v>
      </c>
      <c r="T21" s="15" t="s">
        <v>90</v>
      </c>
      <c r="U21" s="15">
        <v>400</v>
      </c>
      <c r="V21" s="15" t="s">
        <v>90</v>
      </c>
      <c r="W21" s="15" t="s">
        <v>98</v>
      </c>
      <c r="X21" s="15" t="s">
        <v>102</v>
      </c>
      <c r="Y21" s="15" t="s">
        <v>109</v>
      </c>
      <c r="Z21" s="15" t="s">
        <v>116</v>
      </c>
      <c r="AA21" s="15" t="s">
        <v>243</v>
      </c>
    </row>
    <row r="22" spans="1:27" ht="42.75">
      <c r="A22" s="14">
        <v>46300.472916666702</v>
      </c>
      <c r="B22" s="15" t="s">
        <v>148</v>
      </c>
      <c r="C22" s="15" t="s">
        <v>19</v>
      </c>
      <c r="D22" s="15" t="s">
        <v>26</v>
      </c>
      <c r="E22" s="15" t="s">
        <v>32</v>
      </c>
      <c r="F22" s="15" t="s">
        <v>244</v>
      </c>
      <c r="G22" s="15" t="s">
        <v>245</v>
      </c>
      <c r="H22" s="15">
        <v>6</v>
      </c>
      <c r="I22" s="15">
        <v>5</v>
      </c>
      <c r="J22" s="15" t="s">
        <v>39</v>
      </c>
      <c r="K22" s="15" t="s">
        <v>246</v>
      </c>
      <c r="L22" s="15" t="s">
        <v>247</v>
      </c>
      <c r="M22" s="15" t="s">
        <v>58</v>
      </c>
      <c r="N22" s="15" t="s">
        <v>65</v>
      </c>
      <c r="O22" s="15" t="s">
        <v>72</v>
      </c>
      <c r="P22" s="15" t="s">
        <v>76</v>
      </c>
      <c r="Q22" s="15" t="s">
        <v>81</v>
      </c>
      <c r="R22" s="15">
        <v>4</v>
      </c>
      <c r="S22" s="15">
        <v>4</v>
      </c>
      <c r="T22" s="15" t="s">
        <v>90</v>
      </c>
      <c r="U22" s="15">
        <v>150</v>
      </c>
      <c r="V22" s="15" t="s">
        <v>92</v>
      </c>
      <c r="W22" s="15" t="s">
        <v>96</v>
      </c>
      <c r="X22" s="15" t="s">
        <v>104</v>
      </c>
      <c r="Y22" s="15" t="s">
        <v>99</v>
      </c>
      <c r="Z22" s="15" t="s">
        <v>114</v>
      </c>
      <c r="AA22" s="15" t="s">
        <v>248</v>
      </c>
    </row>
    <row r="23" spans="1:27" ht="42.75">
      <c r="A23" s="14">
        <v>46300.486250000002</v>
      </c>
      <c r="B23" s="15" t="s">
        <v>148</v>
      </c>
      <c r="C23" s="15" t="s">
        <v>19</v>
      </c>
      <c r="D23" s="15" t="s">
        <v>25</v>
      </c>
      <c r="E23" s="15" t="s">
        <v>30</v>
      </c>
      <c r="F23" s="15" t="s">
        <v>249</v>
      </c>
      <c r="G23" s="15" t="s">
        <v>250</v>
      </c>
      <c r="H23" s="15"/>
      <c r="I23" s="15"/>
      <c r="J23" s="15" t="s">
        <v>40</v>
      </c>
      <c r="K23" s="15" t="s">
        <v>174</v>
      </c>
      <c r="L23" s="15" t="s">
        <v>251</v>
      </c>
      <c r="M23" s="15" t="s">
        <v>55</v>
      </c>
      <c r="N23" s="15" t="s">
        <v>66</v>
      </c>
      <c r="O23" s="15" t="s">
        <v>71</v>
      </c>
      <c r="P23" s="15" t="s">
        <v>74</v>
      </c>
      <c r="Q23" s="15" t="s">
        <v>252</v>
      </c>
      <c r="R23" s="15">
        <v>5</v>
      </c>
      <c r="S23" s="15">
        <v>4</v>
      </c>
      <c r="T23" s="15" t="s">
        <v>90</v>
      </c>
      <c r="U23" s="15">
        <v>350</v>
      </c>
      <c r="V23" s="15" t="s">
        <v>90</v>
      </c>
      <c r="W23" s="15" t="s">
        <v>96</v>
      </c>
      <c r="X23" s="15" t="s">
        <v>101</v>
      </c>
      <c r="Y23" s="15" t="s">
        <v>109</v>
      </c>
      <c r="Z23" s="15" t="s">
        <v>113</v>
      </c>
      <c r="AA23" s="15"/>
    </row>
    <row r="24" spans="1:27" ht="42.75">
      <c r="A24" s="14">
        <v>46300.510937500003</v>
      </c>
      <c r="B24" s="15" t="s">
        <v>148</v>
      </c>
      <c r="C24" s="15" t="s">
        <v>20</v>
      </c>
      <c r="D24" s="15" t="s">
        <v>26</v>
      </c>
      <c r="E24" s="15" t="s">
        <v>253</v>
      </c>
      <c r="F24" s="15" t="s">
        <v>254</v>
      </c>
      <c r="G24" s="15" t="s">
        <v>255</v>
      </c>
      <c r="H24" s="15">
        <v>330</v>
      </c>
      <c r="I24" s="15">
        <v>500</v>
      </c>
      <c r="J24" s="15" t="s">
        <v>42</v>
      </c>
      <c r="K24" s="15" t="s">
        <v>256</v>
      </c>
      <c r="L24" s="15" t="s">
        <v>257</v>
      </c>
      <c r="M24" s="15" t="s">
        <v>61</v>
      </c>
      <c r="N24" s="15" t="s">
        <v>65</v>
      </c>
      <c r="O24" s="15" t="s">
        <v>72</v>
      </c>
      <c r="P24" s="15" t="s">
        <v>75</v>
      </c>
      <c r="Q24" s="15" t="s">
        <v>80</v>
      </c>
      <c r="R24" s="15">
        <v>2</v>
      </c>
      <c r="S24" s="15">
        <v>3</v>
      </c>
      <c r="T24" s="15" t="s">
        <v>92</v>
      </c>
      <c r="U24" s="15">
        <v>250</v>
      </c>
      <c r="V24" s="15" t="s">
        <v>92</v>
      </c>
      <c r="W24" s="15" t="s">
        <v>99</v>
      </c>
      <c r="X24" s="15" t="s">
        <v>105</v>
      </c>
      <c r="Y24" s="15" t="s">
        <v>110</v>
      </c>
      <c r="Z24" s="15" t="s">
        <v>118</v>
      </c>
      <c r="AA24" s="15" t="s">
        <v>258</v>
      </c>
    </row>
    <row r="25" spans="1:27" ht="57">
      <c r="A25" s="14">
        <v>46300.928715277798</v>
      </c>
      <c r="B25" s="15" t="s">
        <v>148</v>
      </c>
      <c r="C25" s="15" t="s">
        <v>19</v>
      </c>
      <c r="D25" s="15" t="s">
        <v>25</v>
      </c>
      <c r="E25" s="15" t="s">
        <v>30</v>
      </c>
      <c r="F25" s="15" t="s">
        <v>259</v>
      </c>
      <c r="G25" s="15" t="s">
        <v>260</v>
      </c>
      <c r="H25" s="15">
        <v>340</v>
      </c>
      <c r="I25" s="15">
        <v>440</v>
      </c>
      <c r="J25" s="15" t="s">
        <v>40</v>
      </c>
      <c r="K25" s="15" t="s">
        <v>261</v>
      </c>
      <c r="L25" s="15" t="s">
        <v>262</v>
      </c>
      <c r="M25" s="15" t="s">
        <v>56</v>
      </c>
      <c r="N25" s="15" t="s">
        <v>64</v>
      </c>
      <c r="O25" s="15" t="s">
        <v>68</v>
      </c>
      <c r="P25" s="15" t="s">
        <v>186</v>
      </c>
      <c r="Q25" s="15" t="s">
        <v>205</v>
      </c>
      <c r="R25" s="15">
        <v>5</v>
      </c>
      <c r="S25" s="15">
        <v>5</v>
      </c>
      <c r="T25" s="15" t="s">
        <v>89</v>
      </c>
      <c r="U25" s="15">
        <v>450</v>
      </c>
      <c r="V25" s="15" t="s">
        <v>89</v>
      </c>
      <c r="W25" s="15" t="s">
        <v>98</v>
      </c>
      <c r="X25" s="15" t="s">
        <v>101</v>
      </c>
      <c r="Y25" s="15" t="s">
        <v>109</v>
      </c>
      <c r="Z25" s="15" t="s">
        <v>119</v>
      </c>
      <c r="AA25" s="15" t="s">
        <v>263</v>
      </c>
    </row>
    <row r="26" spans="1:27" ht="42.75">
      <c r="A26" s="14">
        <v>46300.979444444398</v>
      </c>
      <c r="B26" s="15" t="s">
        <v>148</v>
      </c>
      <c r="C26" s="15" t="s">
        <v>19</v>
      </c>
      <c r="D26" s="15" t="s">
        <v>28</v>
      </c>
      <c r="E26" s="15" t="s">
        <v>30</v>
      </c>
      <c r="F26" s="15" t="s">
        <v>264</v>
      </c>
      <c r="G26" s="15" t="s">
        <v>265</v>
      </c>
      <c r="H26" s="15">
        <v>180</v>
      </c>
      <c r="I26" s="15">
        <v>340</v>
      </c>
      <c r="J26" s="15" t="s">
        <v>41</v>
      </c>
      <c r="K26" s="15" t="s">
        <v>50</v>
      </c>
      <c r="L26" s="15" t="s">
        <v>61</v>
      </c>
      <c r="M26" s="15" t="s">
        <v>266</v>
      </c>
      <c r="N26" s="15" t="s">
        <v>65</v>
      </c>
      <c r="O26" s="15" t="s">
        <v>72</v>
      </c>
      <c r="P26" s="15" t="s">
        <v>77</v>
      </c>
      <c r="Q26" s="15" t="s">
        <v>80</v>
      </c>
      <c r="R26" s="15">
        <v>4</v>
      </c>
      <c r="S26" s="15">
        <v>4</v>
      </c>
      <c r="T26" s="15" t="s">
        <v>90</v>
      </c>
      <c r="U26" s="15">
        <v>300</v>
      </c>
      <c r="V26" s="15" t="s">
        <v>90</v>
      </c>
      <c r="W26" s="15" t="s">
        <v>97</v>
      </c>
      <c r="X26" s="15" t="s">
        <v>102</v>
      </c>
      <c r="Y26" s="15" t="s">
        <v>108</v>
      </c>
      <c r="Z26" s="15" t="s">
        <v>114</v>
      </c>
      <c r="AA26" s="15"/>
    </row>
    <row r="27" spans="1:27" ht="57">
      <c r="A27" s="14">
        <v>46301.017662036997</v>
      </c>
      <c r="B27" s="15" t="s">
        <v>148</v>
      </c>
      <c r="C27" s="15" t="s">
        <v>21</v>
      </c>
      <c r="D27" s="15" t="s">
        <v>25</v>
      </c>
      <c r="E27" s="15" t="s">
        <v>32</v>
      </c>
      <c r="F27" s="15" t="s">
        <v>267</v>
      </c>
      <c r="G27" s="15" t="s">
        <v>268</v>
      </c>
      <c r="H27" s="15">
        <v>340</v>
      </c>
      <c r="I27" s="15">
        <v>450</v>
      </c>
      <c r="J27" s="15" t="s">
        <v>40</v>
      </c>
      <c r="K27" s="15" t="s">
        <v>151</v>
      </c>
      <c r="L27" s="15" t="s">
        <v>269</v>
      </c>
      <c r="M27" s="15" t="s">
        <v>55</v>
      </c>
      <c r="N27" s="15" t="s">
        <v>65</v>
      </c>
      <c r="O27" s="15" t="s">
        <v>72</v>
      </c>
      <c r="P27" s="15" t="s">
        <v>270</v>
      </c>
      <c r="Q27" s="15" t="s">
        <v>153</v>
      </c>
      <c r="R27" s="15">
        <v>4</v>
      </c>
      <c r="S27" s="15">
        <v>4</v>
      </c>
      <c r="T27" s="15" t="s">
        <v>90</v>
      </c>
      <c r="U27" s="15">
        <v>350</v>
      </c>
      <c r="V27" s="15" t="s">
        <v>90</v>
      </c>
      <c r="W27" s="15" t="s">
        <v>97</v>
      </c>
      <c r="X27" s="15" t="s">
        <v>271</v>
      </c>
      <c r="Y27" s="15" t="s">
        <v>110</v>
      </c>
      <c r="Z27" s="15" t="s">
        <v>272</v>
      </c>
      <c r="AA27" s="15" t="s">
        <v>273</v>
      </c>
    </row>
    <row r="28" spans="1:27" ht="28.5">
      <c r="A28" s="14">
        <v>46301.034016203703</v>
      </c>
      <c r="B28" s="15" t="s">
        <v>148</v>
      </c>
      <c r="C28" s="15" t="s">
        <v>19</v>
      </c>
      <c r="D28" s="15" t="s">
        <v>26</v>
      </c>
      <c r="E28" s="15" t="s">
        <v>32</v>
      </c>
      <c r="F28" s="15" t="s">
        <v>274</v>
      </c>
      <c r="G28" s="15" t="s">
        <v>275</v>
      </c>
      <c r="H28" s="15">
        <v>175</v>
      </c>
      <c r="I28" s="15">
        <v>330</v>
      </c>
      <c r="J28" s="15" t="s">
        <v>40</v>
      </c>
      <c r="K28" s="15" t="s">
        <v>174</v>
      </c>
      <c r="L28" s="15"/>
      <c r="M28" s="15" t="s">
        <v>57</v>
      </c>
      <c r="N28" s="15" t="s">
        <v>65</v>
      </c>
      <c r="O28" s="15" t="s">
        <v>70</v>
      </c>
      <c r="P28" s="15" t="s">
        <v>74</v>
      </c>
      <c r="Q28" s="15" t="s">
        <v>84</v>
      </c>
      <c r="R28" s="15">
        <v>3</v>
      </c>
      <c r="S28" s="15">
        <v>4</v>
      </c>
      <c r="T28" s="15" t="s">
        <v>91</v>
      </c>
      <c r="U28" s="15">
        <v>250</v>
      </c>
      <c r="V28" s="15" t="s">
        <v>92</v>
      </c>
      <c r="W28" s="15" t="s">
        <v>96</v>
      </c>
      <c r="X28" s="15" t="s">
        <v>104</v>
      </c>
      <c r="Y28" s="15" t="s">
        <v>108</v>
      </c>
      <c r="Z28" s="15" t="s">
        <v>112</v>
      </c>
      <c r="AA28" s="15"/>
    </row>
    <row r="29" spans="1:27" ht="57">
      <c r="A29" s="14">
        <v>46301.413784722201</v>
      </c>
      <c r="B29" s="15" t="s">
        <v>148</v>
      </c>
      <c r="C29" s="15" t="s">
        <v>19</v>
      </c>
      <c r="D29" s="15" t="s">
        <v>25</v>
      </c>
      <c r="E29" s="15" t="s">
        <v>30</v>
      </c>
      <c r="F29" s="15" t="s">
        <v>276</v>
      </c>
      <c r="G29" s="15" t="s">
        <v>277</v>
      </c>
      <c r="H29" s="15">
        <v>250</v>
      </c>
      <c r="I29" s="15">
        <v>450</v>
      </c>
      <c r="J29" s="15" t="s">
        <v>40</v>
      </c>
      <c r="K29" s="15" t="s">
        <v>203</v>
      </c>
      <c r="L29" s="15" t="s">
        <v>278</v>
      </c>
      <c r="M29" s="15" t="s">
        <v>55</v>
      </c>
      <c r="N29" s="15" t="s">
        <v>64</v>
      </c>
      <c r="O29" s="15" t="s">
        <v>68</v>
      </c>
      <c r="P29" s="15" t="s">
        <v>74</v>
      </c>
      <c r="Q29" s="15" t="s">
        <v>205</v>
      </c>
      <c r="R29" s="15">
        <v>5</v>
      </c>
      <c r="S29" s="15">
        <v>4</v>
      </c>
      <c r="T29" s="15" t="s">
        <v>89</v>
      </c>
      <c r="U29" s="15">
        <v>400</v>
      </c>
      <c r="V29" s="15" t="s">
        <v>90</v>
      </c>
      <c r="W29" s="15" t="s">
        <v>98</v>
      </c>
      <c r="X29" s="15" t="s">
        <v>101</v>
      </c>
      <c r="Y29" s="15" t="s">
        <v>109</v>
      </c>
      <c r="Z29" s="15" t="s">
        <v>112</v>
      </c>
      <c r="AA29" s="15" t="s">
        <v>279</v>
      </c>
    </row>
    <row r="30" spans="1:27" ht="42.75">
      <c r="A30" s="14">
        <v>46301.460752314801</v>
      </c>
      <c r="B30" s="15" t="s">
        <v>148</v>
      </c>
      <c r="C30" s="15" t="s">
        <v>21</v>
      </c>
      <c r="D30" s="15" t="s">
        <v>26</v>
      </c>
      <c r="E30" s="15" t="s">
        <v>33</v>
      </c>
      <c r="F30" s="15" t="s">
        <v>280</v>
      </c>
      <c r="G30" s="15" t="s">
        <v>281</v>
      </c>
      <c r="H30" s="15">
        <v>330</v>
      </c>
      <c r="I30" s="15">
        <v>520</v>
      </c>
      <c r="J30" s="15" t="s">
        <v>41</v>
      </c>
      <c r="K30" s="15" t="s">
        <v>282</v>
      </c>
      <c r="L30" s="15" t="s">
        <v>283</v>
      </c>
      <c r="M30" s="15" t="s">
        <v>57</v>
      </c>
      <c r="N30" s="15" t="s">
        <v>65</v>
      </c>
      <c r="O30" s="15" t="s">
        <v>72</v>
      </c>
      <c r="P30" s="15" t="s">
        <v>74</v>
      </c>
      <c r="Q30" s="15" t="s">
        <v>170</v>
      </c>
      <c r="R30" s="15">
        <v>4</v>
      </c>
      <c r="S30" s="15">
        <v>5</v>
      </c>
      <c r="T30" s="15" t="s">
        <v>90</v>
      </c>
      <c r="U30" s="15">
        <v>380</v>
      </c>
      <c r="V30" s="15" t="s">
        <v>90</v>
      </c>
      <c r="W30" s="15" t="s">
        <v>98</v>
      </c>
      <c r="X30" s="15" t="s">
        <v>102</v>
      </c>
      <c r="Y30" s="15" t="s">
        <v>109</v>
      </c>
      <c r="Z30" s="15" t="s">
        <v>116</v>
      </c>
      <c r="AA30" s="15" t="s">
        <v>284</v>
      </c>
    </row>
    <row r="31" spans="1:27" ht="57">
      <c r="A31" s="14">
        <v>46301.518206018503</v>
      </c>
      <c r="B31" s="15" t="s">
        <v>148</v>
      </c>
      <c r="C31" s="15" t="s">
        <v>19</v>
      </c>
      <c r="D31" s="15" t="s">
        <v>25</v>
      </c>
      <c r="E31" s="15" t="s">
        <v>30</v>
      </c>
      <c r="F31" s="15" t="s">
        <v>285</v>
      </c>
      <c r="G31" s="15" t="s">
        <v>286</v>
      </c>
      <c r="H31" s="15">
        <v>180</v>
      </c>
      <c r="I31" s="15">
        <v>250</v>
      </c>
      <c r="J31" s="15" t="s">
        <v>40</v>
      </c>
      <c r="K31" s="15" t="s">
        <v>287</v>
      </c>
      <c r="L31" s="15" t="s">
        <v>288</v>
      </c>
      <c r="M31" s="15" t="s">
        <v>55</v>
      </c>
      <c r="N31" s="15" t="s">
        <v>64</v>
      </c>
      <c r="O31" s="15" t="s">
        <v>68</v>
      </c>
      <c r="P31" s="15" t="s">
        <v>270</v>
      </c>
      <c r="Q31" s="15" t="s">
        <v>153</v>
      </c>
      <c r="R31" s="15">
        <v>4</v>
      </c>
      <c r="S31" s="15">
        <v>4</v>
      </c>
      <c r="T31" s="15" t="s">
        <v>90</v>
      </c>
      <c r="U31" s="15">
        <v>320</v>
      </c>
      <c r="V31" s="15" t="s">
        <v>90</v>
      </c>
      <c r="W31" s="15" t="s">
        <v>97</v>
      </c>
      <c r="X31" s="15" t="s">
        <v>101</v>
      </c>
      <c r="Y31" s="15" t="s">
        <v>110</v>
      </c>
      <c r="Z31" s="15" t="s">
        <v>112</v>
      </c>
      <c r="AA31" s="15"/>
    </row>
    <row r="32" spans="1:27" ht="42.75">
      <c r="A32" s="14">
        <v>46301.528749999998</v>
      </c>
      <c r="B32" s="15" t="s">
        <v>148</v>
      </c>
      <c r="C32" s="15" t="s">
        <v>19</v>
      </c>
      <c r="D32" s="15" t="s">
        <v>26</v>
      </c>
      <c r="E32" s="15" t="s">
        <v>30</v>
      </c>
      <c r="F32" s="15" t="s">
        <v>289</v>
      </c>
      <c r="G32" s="15" t="s">
        <v>290</v>
      </c>
      <c r="H32" s="15">
        <v>180</v>
      </c>
      <c r="I32" s="15">
        <v>350</v>
      </c>
      <c r="J32" s="15" t="s">
        <v>42</v>
      </c>
      <c r="K32" s="15" t="s">
        <v>282</v>
      </c>
      <c r="L32" s="15"/>
      <c r="M32" s="15" t="s">
        <v>56</v>
      </c>
      <c r="N32" s="15" t="s">
        <v>64</v>
      </c>
      <c r="O32" s="15" t="s">
        <v>71</v>
      </c>
      <c r="P32" s="15" t="s">
        <v>75</v>
      </c>
      <c r="Q32" s="15" t="s">
        <v>80</v>
      </c>
      <c r="R32" s="15">
        <v>4</v>
      </c>
      <c r="S32" s="15">
        <v>5</v>
      </c>
      <c r="T32" s="15" t="s">
        <v>90</v>
      </c>
      <c r="U32" s="15">
        <v>300</v>
      </c>
      <c r="V32" s="15" t="s">
        <v>90</v>
      </c>
      <c r="W32" s="15" t="s">
        <v>96</v>
      </c>
      <c r="X32" s="15" t="s">
        <v>102</v>
      </c>
      <c r="Y32" s="15" t="s">
        <v>109</v>
      </c>
      <c r="Z32" s="15" t="s">
        <v>115</v>
      </c>
      <c r="AA32" s="15" t="s">
        <v>291</v>
      </c>
    </row>
    <row r="33" spans="1:27" ht="42.75">
      <c r="A33" s="14">
        <v>46301.574178240699</v>
      </c>
      <c r="B33" s="15" t="s">
        <v>148</v>
      </c>
      <c r="C33" s="15" t="s">
        <v>20</v>
      </c>
      <c r="D33" s="15" t="s">
        <v>25</v>
      </c>
      <c r="E33" s="15" t="s">
        <v>32</v>
      </c>
      <c r="F33" s="15" t="s">
        <v>292</v>
      </c>
      <c r="G33" s="15" t="s">
        <v>293</v>
      </c>
      <c r="H33" s="15">
        <v>340</v>
      </c>
      <c r="I33" s="15">
        <v>540</v>
      </c>
      <c r="J33" s="15" t="s">
        <v>40</v>
      </c>
      <c r="K33" s="15" t="s">
        <v>44</v>
      </c>
      <c r="L33" s="15" t="s">
        <v>61</v>
      </c>
      <c r="M33" s="15" t="s">
        <v>55</v>
      </c>
      <c r="N33" s="15" t="s">
        <v>65</v>
      </c>
      <c r="O33" s="15" t="s">
        <v>72</v>
      </c>
      <c r="P33" s="15" t="s">
        <v>74</v>
      </c>
      <c r="Q33" s="15" t="s">
        <v>80</v>
      </c>
      <c r="R33" s="15">
        <v>4</v>
      </c>
      <c r="S33" s="15">
        <v>3</v>
      </c>
      <c r="T33" s="15" t="s">
        <v>90</v>
      </c>
      <c r="U33" s="15">
        <v>400</v>
      </c>
      <c r="V33" s="15" t="s">
        <v>90</v>
      </c>
      <c r="W33" s="15" t="s">
        <v>96</v>
      </c>
      <c r="X33" s="15" t="s">
        <v>101</v>
      </c>
      <c r="Y33" s="15" t="s">
        <v>109</v>
      </c>
      <c r="Z33" s="15" t="s">
        <v>113</v>
      </c>
      <c r="AA33" s="15"/>
    </row>
    <row r="34" spans="1:27" ht="42.75">
      <c r="A34" s="14">
        <v>46301.853148148199</v>
      </c>
      <c r="B34" s="15" t="s">
        <v>148</v>
      </c>
      <c r="C34" s="15" t="s">
        <v>23</v>
      </c>
      <c r="D34" s="15" t="s">
        <v>26</v>
      </c>
      <c r="E34" s="15" t="s">
        <v>32</v>
      </c>
      <c r="F34" s="15" t="s">
        <v>294</v>
      </c>
      <c r="G34" s="15" t="s">
        <v>295</v>
      </c>
      <c r="H34" s="15"/>
      <c r="I34" s="15"/>
      <c r="J34" s="15" t="s">
        <v>37</v>
      </c>
      <c r="K34" s="15" t="s">
        <v>44</v>
      </c>
      <c r="L34" s="15"/>
      <c r="M34" s="15" t="s">
        <v>55</v>
      </c>
      <c r="N34" s="15" t="s">
        <v>65</v>
      </c>
      <c r="O34" s="15" t="s">
        <v>72</v>
      </c>
      <c r="P34" s="15" t="s">
        <v>75</v>
      </c>
      <c r="Q34" s="15" t="s">
        <v>84</v>
      </c>
      <c r="R34" s="15">
        <v>2</v>
      </c>
      <c r="S34" s="15">
        <v>1</v>
      </c>
      <c r="T34" s="15" t="s">
        <v>93</v>
      </c>
      <c r="U34" s="15">
        <v>0</v>
      </c>
      <c r="V34" s="15" t="s">
        <v>93</v>
      </c>
      <c r="W34" s="15" t="s">
        <v>99</v>
      </c>
      <c r="X34" s="15" t="s">
        <v>105</v>
      </c>
      <c r="Y34" s="15" t="s">
        <v>99</v>
      </c>
      <c r="Z34" s="15" t="s">
        <v>118</v>
      </c>
      <c r="AA34" s="15" t="s">
        <v>296</v>
      </c>
    </row>
    <row r="35" spans="1:27" ht="42.75">
      <c r="A35" s="14">
        <v>46301.924803240698</v>
      </c>
      <c r="B35" s="15" t="s">
        <v>148</v>
      </c>
      <c r="C35" s="15" t="s">
        <v>19</v>
      </c>
      <c r="D35" s="15" t="s">
        <v>25</v>
      </c>
      <c r="E35" s="15" t="s">
        <v>32</v>
      </c>
      <c r="F35" s="15" t="s">
        <v>297</v>
      </c>
      <c r="G35" s="15" t="s">
        <v>298</v>
      </c>
      <c r="H35" s="15">
        <v>180</v>
      </c>
      <c r="I35" s="15">
        <v>240</v>
      </c>
      <c r="J35" s="15" t="s">
        <v>41</v>
      </c>
      <c r="K35" s="15" t="s">
        <v>299</v>
      </c>
      <c r="L35" s="15" t="s">
        <v>300</v>
      </c>
      <c r="M35" s="15" t="s">
        <v>55</v>
      </c>
      <c r="N35" s="15" t="s">
        <v>65</v>
      </c>
      <c r="O35" s="15" t="s">
        <v>72</v>
      </c>
      <c r="P35" s="15" t="s">
        <v>74</v>
      </c>
      <c r="Q35" s="15" t="s">
        <v>153</v>
      </c>
      <c r="R35" s="15">
        <v>4</v>
      </c>
      <c r="S35" s="15">
        <v>4</v>
      </c>
      <c r="T35" s="15" t="s">
        <v>90</v>
      </c>
      <c r="U35" s="15">
        <v>300</v>
      </c>
      <c r="V35" s="15" t="s">
        <v>90</v>
      </c>
      <c r="W35" s="15" t="s">
        <v>96</v>
      </c>
      <c r="X35" s="15" t="s">
        <v>104</v>
      </c>
      <c r="Y35" s="15" t="s">
        <v>108</v>
      </c>
      <c r="Z35" s="15" t="s">
        <v>114</v>
      </c>
      <c r="AA35" s="15"/>
    </row>
    <row r="36" spans="1:27" ht="28.5">
      <c r="A36" s="14">
        <v>46302.423067129603</v>
      </c>
      <c r="B36" s="15" t="s">
        <v>148</v>
      </c>
      <c r="C36" s="15" t="s">
        <v>20</v>
      </c>
      <c r="D36" s="15" t="s">
        <v>26</v>
      </c>
      <c r="E36" s="15" t="s">
        <v>31</v>
      </c>
      <c r="F36" s="15" t="s">
        <v>301</v>
      </c>
      <c r="G36" s="15" t="s">
        <v>255</v>
      </c>
      <c r="H36" s="15">
        <v>180</v>
      </c>
      <c r="I36" s="15">
        <v>320</v>
      </c>
      <c r="J36" s="15" t="s">
        <v>42</v>
      </c>
      <c r="K36" s="15" t="s">
        <v>218</v>
      </c>
      <c r="L36" s="15" t="s">
        <v>302</v>
      </c>
      <c r="M36" s="15" t="s">
        <v>55</v>
      </c>
      <c r="N36" s="15" t="s">
        <v>65</v>
      </c>
      <c r="O36" s="15" t="s">
        <v>72</v>
      </c>
      <c r="P36" s="15" t="s">
        <v>77</v>
      </c>
      <c r="Q36" s="15" t="s">
        <v>80</v>
      </c>
      <c r="R36" s="15">
        <v>4</v>
      </c>
      <c r="S36" s="15">
        <v>3</v>
      </c>
      <c r="T36" s="15" t="s">
        <v>90</v>
      </c>
      <c r="U36" s="15">
        <v>300</v>
      </c>
      <c r="V36" s="15" t="s">
        <v>90</v>
      </c>
      <c r="W36" s="15" t="s">
        <v>96</v>
      </c>
      <c r="X36" s="15" t="s">
        <v>104</v>
      </c>
      <c r="Y36" s="15" t="s">
        <v>108</v>
      </c>
      <c r="Z36" s="15" t="s">
        <v>117</v>
      </c>
      <c r="AA36" s="15" t="s">
        <v>303</v>
      </c>
    </row>
    <row r="37" spans="1:27" ht="57">
      <c r="A37" s="14">
        <v>46302.601319444497</v>
      </c>
      <c r="B37" s="15" t="s">
        <v>148</v>
      </c>
      <c r="C37" s="15" t="s">
        <v>19</v>
      </c>
      <c r="D37" s="15" t="s">
        <v>25</v>
      </c>
      <c r="E37" s="15" t="s">
        <v>30</v>
      </c>
      <c r="F37" s="15" t="s">
        <v>304</v>
      </c>
      <c r="G37" s="15" t="s">
        <v>305</v>
      </c>
      <c r="H37" s="15">
        <v>180</v>
      </c>
      <c r="I37" s="15">
        <v>290</v>
      </c>
      <c r="J37" s="15" t="s">
        <v>40</v>
      </c>
      <c r="K37" s="15" t="s">
        <v>213</v>
      </c>
      <c r="L37" s="15" t="s">
        <v>306</v>
      </c>
      <c r="M37" s="15" t="s">
        <v>56</v>
      </c>
      <c r="N37" s="15" t="s">
        <v>64</v>
      </c>
      <c r="O37" s="15" t="s">
        <v>68</v>
      </c>
      <c r="P37" s="15" t="s">
        <v>74</v>
      </c>
      <c r="Q37" s="15" t="s">
        <v>205</v>
      </c>
      <c r="R37" s="15">
        <v>5</v>
      </c>
      <c r="S37" s="15">
        <v>5</v>
      </c>
      <c r="T37" s="15" t="s">
        <v>89</v>
      </c>
      <c r="U37" s="15">
        <v>400</v>
      </c>
      <c r="V37" s="15" t="s">
        <v>90</v>
      </c>
      <c r="W37" s="15" t="s">
        <v>98</v>
      </c>
      <c r="X37" s="15" t="s">
        <v>101</v>
      </c>
      <c r="Y37" s="15" t="s">
        <v>109</v>
      </c>
      <c r="Z37" s="15" t="s">
        <v>112</v>
      </c>
      <c r="AA37" s="15" t="s">
        <v>307</v>
      </c>
    </row>
    <row r="38" spans="1:27" ht="42.75">
      <c r="A38" s="14">
        <v>46302.750567129602</v>
      </c>
      <c r="B38" s="15" t="s">
        <v>148</v>
      </c>
      <c r="C38" s="15" t="s">
        <v>20</v>
      </c>
      <c r="D38" s="15" t="s">
        <v>25</v>
      </c>
      <c r="E38" s="15" t="s">
        <v>31</v>
      </c>
      <c r="F38" s="15" t="s">
        <v>308</v>
      </c>
      <c r="G38" s="15" t="s">
        <v>260</v>
      </c>
      <c r="H38" s="15">
        <v>340</v>
      </c>
      <c r="I38" s="15">
        <v>430</v>
      </c>
      <c r="J38" s="15" t="s">
        <v>40</v>
      </c>
      <c r="K38" s="15" t="s">
        <v>232</v>
      </c>
      <c r="L38" s="15" t="s">
        <v>309</v>
      </c>
      <c r="M38" s="15" t="s">
        <v>60</v>
      </c>
      <c r="N38" s="15" t="s">
        <v>64</v>
      </c>
      <c r="O38" s="15" t="s">
        <v>68</v>
      </c>
      <c r="P38" s="15" t="s">
        <v>75</v>
      </c>
      <c r="Q38" s="15" t="s">
        <v>310</v>
      </c>
      <c r="R38" s="15">
        <v>4</v>
      </c>
      <c r="S38" s="15">
        <v>4</v>
      </c>
      <c r="T38" s="15" t="s">
        <v>90</v>
      </c>
      <c r="U38" s="15">
        <v>350</v>
      </c>
      <c r="V38" s="15" t="s">
        <v>90</v>
      </c>
      <c r="W38" s="15" t="s">
        <v>97</v>
      </c>
      <c r="X38" s="15" t="s">
        <v>101</v>
      </c>
      <c r="Y38" s="15" t="s">
        <v>109</v>
      </c>
      <c r="Z38" s="15" t="s">
        <v>112</v>
      </c>
      <c r="AA38" s="15"/>
    </row>
    <row r="39" spans="1:27" ht="28.5">
      <c r="A39" s="14">
        <v>46302.858402777798</v>
      </c>
      <c r="B39" s="15" t="s">
        <v>148</v>
      </c>
      <c r="C39" s="15" t="s">
        <v>21</v>
      </c>
      <c r="D39" s="15" t="s">
        <v>26</v>
      </c>
      <c r="E39" s="15" t="s">
        <v>33</v>
      </c>
      <c r="F39" s="15" t="s">
        <v>311</v>
      </c>
      <c r="G39" s="15" t="s">
        <v>312</v>
      </c>
      <c r="H39" s="15">
        <v>340</v>
      </c>
      <c r="I39" s="15"/>
      <c r="J39" s="15" t="s">
        <v>38</v>
      </c>
      <c r="K39" s="15" t="s">
        <v>51</v>
      </c>
      <c r="L39" s="15"/>
      <c r="M39" s="15" t="s">
        <v>55</v>
      </c>
      <c r="N39" s="15" t="s">
        <v>65</v>
      </c>
      <c r="O39" s="15" t="s">
        <v>72</v>
      </c>
      <c r="P39" s="15" t="s">
        <v>77</v>
      </c>
      <c r="Q39" s="15" t="s">
        <v>84</v>
      </c>
      <c r="R39" s="15">
        <v>3</v>
      </c>
      <c r="S39" s="15">
        <v>3</v>
      </c>
      <c r="T39" s="15" t="s">
        <v>91</v>
      </c>
      <c r="U39" s="15"/>
      <c r="V39" s="15" t="s">
        <v>91</v>
      </c>
      <c r="W39" s="15" t="s">
        <v>97</v>
      </c>
      <c r="X39" s="15" t="s">
        <v>103</v>
      </c>
      <c r="Y39" s="15" t="s">
        <v>110</v>
      </c>
      <c r="Z39" s="15" t="s">
        <v>118</v>
      </c>
      <c r="AA39" s="15" t="s">
        <v>313</v>
      </c>
    </row>
    <row r="40" spans="1:27" ht="42.75">
      <c r="A40" s="14">
        <v>46302.870347222197</v>
      </c>
      <c r="B40" s="15" t="s">
        <v>148</v>
      </c>
      <c r="C40" s="15" t="s">
        <v>19</v>
      </c>
      <c r="D40" s="15" t="s">
        <v>25</v>
      </c>
      <c r="E40" s="15" t="s">
        <v>30</v>
      </c>
      <c r="F40" s="15" t="s">
        <v>314</v>
      </c>
      <c r="G40" s="15" t="s">
        <v>315</v>
      </c>
      <c r="H40" s="15">
        <v>180</v>
      </c>
      <c r="I40" s="15">
        <v>380</v>
      </c>
      <c r="J40" s="15" t="s">
        <v>40</v>
      </c>
      <c r="K40" s="15" t="s">
        <v>261</v>
      </c>
      <c r="L40" s="15" t="s">
        <v>316</v>
      </c>
      <c r="M40" s="15" t="s">
        <v>56</v>
      </c>
      <c r="N40" s="15" t="s">
        <v>64</v>
      </c>
      <c r="O40" s="15" t="s">
        <v>68</v>
      </c>
      <c r="P40" s="15" t="s">
        <v>75</v>
      </c>
      <c r="Q40" s="15" t="s">
        <v>153</v>
      </c>
      <c r="R40" s="15">
        <v>5</v>
      </c>
      <c r="S40" s="15">
        <v>5</v>
      </c>
      <c r="T40" s="15" t="s">
        <v>89</v>
      </c>
      <c r="U40" s="15">
        <v>380</v>
      </c>
      <c r="V40" s="15" t="s">
        <v>89</v>
      </c>
      <c r="W40" s="15" t="s">
        <v>98</v>
      </c>
      <c r="X40" s="15" t="s">
        <v>102</v>
      </c>
      <c r="Y40" s="15" t="s">
        <v>109</v>
      </c>
      <c r="Z40" s="15" t="s">
        <v>116</v>
      </c>
      <c r="AA40" s="15" t="s">
        <v>317</v>
      </c>
    </row>
    <row r="41" spans="1:27" ht="28.5">
      <c r="A41" s="14">
        <v>46302.872233796297</v>
      </c>
      <c r="B41" s="15" t="s">
        <v>148</v>
      </c>
      <c r="C41" s="15" t="s">
        <v>19</v>
      </c>
      <c r="D41" s="15" t="s">
        <v>26</v>
      </c>
      <c r="E41" s="15" t="s">
        <v>30</v>
      </c>
      <c r="F41" s="15" t="s">
        <v>318</v>
      </c>
      <c r="G41" s="15" t="s">
        <v>319</v>
      </c>
      <c r="H41" s="15">
        <v>6</v>
      </c>
      <c r="I41" s="15">
        <v>5</v>
      </c>
      <c r="J41" s="15" t="s">
        <v>41</v>
      </c>
      <c r="K41" s="15" t="s">
        <v>209</v>
      </c>
      <c r="L41" s="15" t="s">
        <v>320</v>
      </c>
      <c r="M41" s="15" t="s">
        <v>55</v>
      </c>
      <c r="N41" s="15" t="s">
        <v>65</v>
      </c>
      <c r="O41" s="15" t="s">
        <v>72</v>
      </c>
      <c r="P41" s="15" t="s">
        <v>74</v>
      </c>
      <c r="Q41" s="15" t="s">
        <v>80</v>
      </c>
      <c r="R41" s="15">
        <v>4</v>
      </c>
      <c r="S41" s="15">
        <v>4</v>
      </c>
      <c r="T41" s="15" t="s">
        <v>90</v>
      </c>
      <c r="U41" s="15">
        <v>200</v>
      </c>
      <c r="V41" s="15" t="s">
        <v>92</v>
      </c>
      <c r="W41" s="15" t="s">
        <v>96</v>
      </c>
      <c r="X41" s="15" t="s">
        <v>104</v>
      </c>
      <c r="Y41" s="15" t="s">
        <v>108</v>
      </c>
      <c r="Z41" s="15" t="s">
        <v>114</v>
      </c>
      <c r="AA41" s="15" t="s">
        <v>321</v>
      </c>
    </row>
    <row r="42" spans="1:27" ht="42.75">
      <c r="A42" s="14">
        <v>46303.391238425902</v>
      </c>
      <c r="B42" s="15" t="s">
        <v>148</v>
      </c>
      <c r="C42" s="15" t="s">
        <v>21</v>
      </c>
      <c r="D42" s="15" t="s">
        <v>25</v>
      </c>
      <c r="E42" s="15" t="s">
        <v>33</v>
      </c>
      <c r="F42" s="15" t="s">
        <v>322</v>
      </c>
      <c r="G42" s="15" t="s">
        <v>323</v>
      </c>
      <c r="H42" s="15">
        <v>340</v>
      </c>
      <c r="I42" s="15">
        <v>600</v>
      </c>
      <c r="J42" s="15" t="s">
        <v>40</v>
      </c>
      <c r="K42" s="15" t="s">
        <v>218</v>
      </c>
      <c r="L42" s="15" t="s">
        <v>324</v>
      </c>
      <c r="M42" s="15" t="s">
        <v>56</v>
      </c>
      <c r="N42" s="15" t="s">
        <v>65</v>
      </c>
      <c r="O42" s="15" t="s">
        <v>72</v>
      </c>
      <c r="P42" s="15" t="s">
        <v>74</v>
      </c>
      <c r="Q42" s="15" t="s">
        <v>170</v>
      </c>
      <c r="R42" s="15">
        <v>4</v>
      </c>
      <c r="S42" s="15">
        <v>4</v>
      </c>
      <c r="T42" s="15" t="s">
        <v>90</v>
      </c>
      <c r="U42" s="15">
        <v>450</v>
      </c>
      <c r="V42" s="15" t="s">
        <v>90</v>
      </c>
      <c r="W42" s="15" t="s">
        <v>98</v>
      </c>
      <c r="X42" s="15" t="s">
        <v>101</v>
      </c>
      <c r="Y42" s="15" t="s">
        <v>109</v>
      </c>
      <c r="Z42" s="15" t="s">
        <v>112</v>
      </c>
      <c r="AA42" s="15" t="s">
        <v>325</v>
      </c>
    </row>
    <row r="43" spans="1:27" ht="28.5">
      <c r="A43" s="14">
        <v>46303.611284722203</v>
      </c>
      <c r="B43" s="15" t="s">
        <v>148</v>
      </c>
      <c r="C43" s="15" t="s">
        <v>19</v>
      </c>
      <c r="D43" s="15"/>
      <c r="E43" s="15" t="s">
        <v>30</v>
      </c>
      <c r="F43" s="15" t="s">
        <v>326</v>
      </c>
      <c r="G43" s="15" t="s">
        <v>255</v>
      </c>
      <c r="H43" s="15">
        <v>180</v>
      </c>
      <c r="I43" s="15"/>
      <c r="J43" s="15" t="s">
        <v>40</v>
      </c>
      <c r="K43" s="15" t="s">
        <v>51</v>
      </c>
      <c r="L43" s="15"/>
      <c r="M43" s="15" t="s">
        <v>61</v>
      </c>
      <c r="N43" s="15" t="s">
        <v>65</v>
      </c>
      <c r="O43" s="15" t="s">
        <v>72</v>
      </c>
      <c r="P43" s="15" t="s">
        <v>51</v>
      </c>
      <c r="Q43" s="15" t="s">
        <v>84</v>
      </c>
      <c r="R43" s="15">
        <v>2</v>
      </c>
      <c r="S43" s="15">
        <v>3</v>
      </c>
      <c r="T43" s="15" t="s">
        <v>92</v>
      </c>
      <c r="U43" s="15">
        <v>200</v>
      </c>
      <c r="V43" s="15" t="s">
        <v>93</v>
      </c>
      <c r="W43" s="15" t="s">
        <v>99</v>
      </c>
      <c r="X43" s="15" t="s">
        <v>105</v>
      </c>
      <c r="Y43" s="15" t="s">
        <v>99</v>
      </c>
      <c r="Z43" s="15" t="s">
        <v>118</v>
      </c>
      <c r="AA43" s="15" t="s">
        <v>327</v>
      </c>
    </row>
    <row r="44" spans="1:27" ht="42.75">
      <c r="A44" s="14">
        <v>46303.7528356482</v>
      </c>
      <c r="B44" s="15" t="s">
        <v>148</v>
      </c>
      <c r="C44" s="15" t="s">
        <v>19</v>
      </c>
      <c r="D44" s="15" t="s">
        <v>25</v>
      </c>
      <c r="E44" s="15" t="s">
        <v>32</v>
      </c>
      <c r="F44" s="15" t="s">
        <v>328</v>
      </c>
      <c r="G44" s="15" t="s">
        <v>268</v>
      </c>
      <c r="H44" s="15">
        <v>180</v>
      </c>
      <c r="I44" s="15">
        <v>250</v>
      </c>
      <c r="J44" s="15" t="s">
        <v>40</v>
      </c>
      <c r="K44" s="15" t="s">
        <v>151</v>
      </c>
      <c r="L44" s="15" t="s">
        <v>329</v>
      </c>
      <c r="M44" s="15" t="s">
        <v>55</v>
      </c>
      <c r="N44" s="15" t="s">
        <v>65</v>
      </c>
      <c r="O44" s="15" t="s">
        <v>72</v>
      </c>
      <c r="P44" s="15" t="s">
        <v>76</v>
      </c>
      <c r="Q44" s="15" t="s">
        <v>81</v>
      </c>
      <c r="R44" s="15">
        <v>4</v>
      </c>
      <c r="S44" s="15">
        <v>5</v>
      </c>
      <c r="T44" s="15" t="s">
        <v>90</v>
      </c>
      <c r="U44" s="15">
        <v>300</v>
      </c>
      <c r="V44" s="15" t="s">
        <v>90</v>
      </c>
      <c r="W44" s="15" t="s">
        <v>96</v>
      </c>
      <c r="X44" s="15" t="s">
        <v>103</v>
      </c>
      <c r="Y44" s="15" t="s">
        <v>109</v>
      </c>
      <c r="Z44" s="15" t="s">
        <v>115</v>
      </c>
      <c r="AA44" s="15"/>
    </row>
    <row r="45" spans="1:27" ht="42.75">
      <c r="A45" s="14">
        <v>46303.816759259302</v>
      </c>
      <c r="B45" s="15" t="s">
        <v>148</v>
      </c>
      <c r="C45" s="15" t="s">
        <v>20</v>
      </c>
      <c r="D45" s="15" t="s">
        <v>26</v>
      </c>
      <c r="E45" s="15" t="s">
        <v>32</v>
      </c>
      <c r="F45" s="15" t="s">
        <v>330</v>
      </c>
      <c r="G45" s="15" t="s">
        <v>323</v>
      </c>
      <c r="H45" s="15">
        <v>180</v>
      </c>
      <c r="I45" s="15">
        <v>350</v>
      </c>
      <c r="J45" s="15" t="s">
        <v>40</v>
      </c>
      <c r="K45" s="15" t="s">
        <v>218</v>
      </c>
      <c r="L45" s="15" t="s">
        <v>61</v>
      </c>
      <c r="M45" s="15" t="s">
        <v>57</v>
      </c>
      <c r="N45" s="15" t="s">
        <v>65</v>
      </c>
      <c r="O45" s="15" t="s">
        <v>72</v>
      </c>
      <c r="P45" s="15" t="s">
        <v>74</v>
      </c>
      <c r="Q45" s="15" t="s">
        <v>191</v>
      </c>
      <c r="R45" s="15">
        <v>3</v>
      </c>
      <c r="S45" s="15">
        <v>2</v>
      </c>
      <c r="T45" s="15" t="s">
        <v>91</v>
      </c>
      <c r="U45" s="15">
        <v>300</v>
      </c>
      <c r="V45" s="15" t="s">
        <v>92</v>
      </c>
      <c r="W45" s="15" t="s">
        <v>97</v>
      </c>
      <c r="X45" s="15" t="s">
        <v>101</v>
      </c>
      <c r="Y45" s="15" t="s">
        <v>108</v>
      </c>
      <c r="Z45" s="15" t="s">
        <v>112</v>
      </c>
      <c r="AA45" s="15" t="s">
        <v>331</v>
      </c>
    </row>
    <row r="46" spans="1:27" ht="57">
      <c r="A46" s="14">
        <v>46303.839317129597</v>
      </c>
      <c r="B46" s="15" t="s">
        <v>148</v>
      </c>
      <c r="C46" s="15" t="s">
        <v>19</v>
      </c>
      <c r="D46" s="15" t="s">
        <v>25</v>
      </c>
      <c r="E46" s="15" t="s">
        <v>30</v>
      </c>
      <c r="F46" s="15" t="s">
        <v>332</v>
      </c>
      <c r="G46" s="15" t="s">
        <v>333</v>
      </c>
      <c r="H46" s="15">
        <v>340</v>
      </c>
      <c r="I46" s="15">
        <v>440</v>
      </c>
      <c r="J46" s="15" t="s">
        <v>40</v>
      </c>
      <c r="K46" s="15" t="s">
        <v>213</v>
      </c>
      <c r="L46" s="15" t="s">
        <v>334</v>
      </c>
      <c r="M46" s="15" t="s">
        <v>56</v>
      </c>
      <c r="N46" s="15" t="s">
        <v>64</v>
      </c>
      <c r="O46" s="15" t="s">
        <v>68</v>
      </c>
      <c r="P46" s="15" t="s">
        <v>186</v>
      </c>
      <c r="Q46" s="15" t="s">
        <v>153</v>
      </c>
      <c r="R46" s="15">
        <v>4</v>
      </c>
      <c r="S46" s="15">
        <v>5</v>
      </c>
      <c r="T46" s="15" t="s">
        <v>90</v>
      </c>
      <c r="U46" s="15">
        <v>350</v>
      </c>
      <c r="V46" s="15" t="s">
        <v>90</v>
      </c>
      <c r="W46" s="15" t="s">
        <v>98</v>
      </c>
      <c r="X46" s="15" t="s">
        <v>102</v>
      </c>
      <c r="Y46" s="15" t="s">
        <v>109</v>
      </c>
      <c r="Z46" s="15" t="s">
        <v>116</v>
      </c>
      <c r="AA46" s="15"/>
    </row>
    <row r="47" spans="1:27" ht="42.75">
      <c r="A47" s="14">
        <v>46304.574768518498</v>
      </c>
      <c r="B47" s="15" t="s">
        <v>148</v>
      </c>
      <c r="C47" s="15" t="s">
        <v>22</v>
      </c>
      <c r="D47" s="15" t="s">
        <v>26</v>
      </c>
      <c r="E47" s="15" t="s">
        <v>32</v>
      </c>
      <c r="F47" s="15" t="s">
        <v>335</v>
      </c>
      <c r="G47" s="15" t="s">
        <v>255</v>
      </c>
      <c r="H47" s="15">
        <v>330</v>
      </c>
      <c r="I47" s="15">
        <v>520</v>
      </c>
      <c r="J47" s="15" t="s">
        <v>42</v>
      </c>
      <c r="K47" s="15" t="s">
        <v>49</v>
      </c>
      <c r="L47" s="15" t="s">
        <v>336</v>
      </c>
      <c r="M47" s="15" t="s">
        <v>55</v>
      </c>
      <c r="N47" s="15" t="s">
        <v>65</v>
      </c>
      <c r="O47" s="15" t="s">
        <v>72</v>
      </c>
      <c r="P47" s="15" t="s">
        <v>74</v>
      </c>
      <c r="Q47" s="15" t="s">
        <v>84</v>
      </c>
      <c r="R47" s="15">
        <v>3</v>
      </c>
      <c r="S47" s="15">
        <v>4</v>
      </c>
      <c r="T47" s="15" t="s">
        <v>92</v>
      </c>
      <c r="U47" s="15">
        <v>300</v>
      </c>
      <c r="V47" s="15" t="s">
        <v>92</v>
      </c>
      <c r="W47" s="15" t="s">
        <v>99</v>
      </c>
      <c r="X47" s="15" t="s">
        <v>101</v>
      </c>
      <c r="Y47" s="15" t="s">
        <v>108</v>
      </c>
      <c r="Z47" s="15" t="s">
        <v>112</v>
      </c>
      <c r="AA47" s="15"/>
    </row>
    <row r="48" spans="1:27" ht="42.75">
      <c r="A48" s="14">
        <v>46304.582106481503</v>
      </c>
      <c r="B48" s="15" t="s">
        <v>148</v>
      </c>
      <c r="C48" s="15" t="s">
        <v>19</v>
      </c>
      <c r="D48" s="15" t="s">
        <v>25</v>
      </c>
      <c r="E48" s="15" t="s">
        <v>30</v>
      </c>
      <c r="F48" s="15" t="s">
        <v>337</v>
      </c>
      <c r="G48" s="15" t="s">
        <v>161</v>
      </c>
      <c r="H48" s="15">
        <v>180</v>
      </c>
      <c r="I48" s="15">
        <v>300</v>
      </c>
      <c r="J48" s="15" t="s">
        <v>40</v>
      </c>
      <c r="K48" s="15" t="s">
        <v>232</v>
      </c>
      <c r="L48" s="15" t="s">
        <v>338</v>
      </c>
      <c r="M48" s="15" t="s">
        <v>339</v>
      </c>
      <c r="N48" s="15" t="s">
        <v>64</v>
      </c>
      <c r="O48" s="15" t="s">
        <v>71</v>
      </c>
      <c r="P48" s="15" t="s">
        <v>77</v>
      </c>
      <c r="Q48" s="15" t="s">
        <v>153</v>
      </c>
      <c r="R48" s="15">
        <v>4</v>
      </c>
      <c r="S48" s="15">
        <v>4</v>
      </c>
      <c r="T48" s="15" t="s">
        <v>90</v>
      </c>
      <c r="U48" s="15">
        <v>320</v>
      </c>
      <c r="V48" s="15" t="s">
        <v>90</v>
      </c>
      <c r="W48" s="15" t="s">
        <v>96</v>
      </c>
      <c r="X48" s="15" t="s">
        <v>104</v>
      </c>
      <c r="Y48" s="15" t="s">
        <v>110</v>
      </c>
      <c r="Z48" s="15" t="s">
        <v>113</v>
      </c>
      <c r="AA48" s="15"/>
    </row>
    <row r="49" spans="1:27" ht="28.5">
      <c r="A49" s="14">
        <v>46304.924768518496</v>
      </c>
      <c r="B49" s="15" t="s">
        <v>148</v>
      </c>
      <c r="C49" s="15" t="s">
        <v>19</v>
      </c>
      <c r="D49" s="15"/>
      <c r="E49" s="15" t="s">
        <v>32</v>
      </c>
      <c r="F49" s="15" t="s">
        <v>340</v>
      </c>
      <c r="G49" s="15" t="s">
        <v>268</v>
      </c>
      <c r="H49" s="15"/>
      <c r="I49" s="15"/>
      <c r="J49" s="15" t="s">
        <v>40</v>
      </c>
      <c r="K49" s="15" t="s">
        <v>44</v>
      </c>
      <c r="L49" s="15"/>
      <c r="M49" s="15" t="s">
        <v>57</v>
      </c>
      <c r="N49" s="15" t="s">
        <v>66</v>
      </c>
      <c r="O49" s="15" t="s">
        <v>72</v>
      </c>
      <c r="P49" s="15" t="s">
        <v>77</v>
      </c>
      <c r="Q49" s="15" t="s">
        <v>84</v>
      </c>
      <c r="R49" s="15">
        <v>3</v>
      </c>
      <c r="S49" s="15">
        <v>4</v>
      </c>
      <c r="T49" s="15" t="s">
        <v>91</v>
      </c>
      <c r="U49" s="15">
        <v>250</v>
      </c>
      <c r="V49" s="15" t="s">
        <v>91</v>
      </c>
      <c r="W49" s="15" t="s">
        <v>96</v>
      </c>
      <c r="X49" s="15" t="s">
        <v>104</v>
      </c>
      <c r="Y49" s="15" t="s">
        <v>108</v>
      </c>
      <c r="Z49" s="15" t="s">
        <v>114</v>
      </c>
      <c r="AA49" s="15"/>
    </row>
    <row r="50" spans="1:27" ht="57">
      <c r="A50" s="14">
        <v>46304.9276157407</v>
      </c>
      <c r="B50" s="15" t="s">
        <v>148</v>
      </c>
      <c r="C50" s="15" t="s">
        <v>20</v>
      </c>
      <c r="D50" s="15" t="s">
        <v>25</v>
      </c>
      <c r="E50" s="15" t="s">
        <v>31</v>
      </c>
      <c r="F50" s="15" t="s">
        <v>341</v>
      </c>
      <c r="G50" s="15" t="s">
        <v>342</v>
      </c>
      <c r="H50" s="15">
        <v>340</v>
      </c>
      <c r="I50" s="15">
        <v>520</v>
      </c>
      <c r="J50" s="15" t="s">
        <v>40</v>
      </c>
      <c r="K50" s="15" t="s">
        <v>343</v>
      </c>
      <c r="L50" s="15" t="s">
        <v>344</v>
      </c>
      <c r="M50" s="15" t="s">
        <v>55</v>
      </c>
      <c r="N50" s="15" t="s">
        <v>64</v>
      </c>
      <c r="O50" s="15" t="s">
        <v>68</v>
      </c>
      <c r="P50" s="15" t="s">
        <v>74</v>
      </c>
      <c r="Q50" s="15" t="s">
        <v>170</v>
      </c>
      <c r="R50" s="15">
        <v>5</v>
      </c>
      <c r="S50" s="15">
        <v>4</v>
      </c>
      <c r="T50" s="15" t="s">
        <v>89</v>
      </c>
      <c r="U50" s="15">
        <v>450</v>
      </c>
      <c r="V50" s="15" t="s">
        <v>89</v>
      </c>
      <c r="W50" s="15" t="s">
        <v>98</v>
      </c>
      <c r="X50" s="15" t="s">
        <v>101</v>
      </c>
      <c r="Y50" s="15" t="s">
        <v>109</v>
      </c>
      <c r="Z50" s="15" t="s">
        <v>112</v>
      </c>
      <c r="AA50" s="15" t="s">
        <v>345</v>
      </c>
    </row>
    <row r="51" spans="1:27" ht="42.75">
      <c r="A51" s="14">
        <v>46304.967164351903</v>
      </c>
      <c r="B51" s="15" t="s">
        <v>148</v>
      </c>
      <c r="C51" s="15" t="s">
        <v>19</v>
      </c>
      <c r="D51" s="15" t="s">
        <v>26</v>
      </c>
      <c r="E51" s="15" t="s">
        <v>30</v>
      </c>
      <c r="F51" s="15" t="s">
        <v>267</v>
      </c>
      <c r="G51" s="15" t="s">
        <v>177</v>
      </c>
      <c r="H51" s="15">
        <v>180</v>
      </c>
      <c r="I51" s="15">
        <v>330</v>
      </c>
      <c r="J51" s="15" t="s">
        <v>41</v>
      </c>
      <c r="K51" s="15" t="s">
        <v>346</v>
      </c>
      <c r="L51" s="15" t="s">
        <v>347</v>
      </c>
      <c r="M51" s="15" t="s">
        <v>56</v>
      </c>
      <c r="N51" s="15" t="s">
        <v>66</v>
      </c>
      <c r="O51" s="15" t="s">
        <v>71</v>
      </c>
      <c r="P51" s="15" t="s">
        <v>76</v>
      </c>
      <c r="Q51" s="15" t="s">
        <v>80</v>
      </c>
      <c r="R51" s="15">
        <v>5</v>
      </c>
      <c r="S51" s="15">
        <v>4</v>
      </c>
      <c r="T51" s="15" t="s">
        <v>90</v>
      </c>
      <c r="U51" s="15">
        <v>300</v>
      </c>
      <c r="V51" s="15" t="s">
        <v>90</v>
      </c>
      <c r="W51" s="15" t="s">
        <v>97</v>
      </c>
      <c r="X51" s="15" t="s">
        <v>101</v>
      </c>
      <c r="Y51" s="15" t="s">
        <v>109</v>
      </c>
      <c r="Z51" s="15" t="s">
        <v>112</v>
      </c>
      <c r="AA51" s="15"/>
    </row>
  </sheetData>
  <autoFilter ref="A1:AA5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zoomScaleNormal="100" workbookViewId="0"/>
  </sheetViews>
  <sheetFormatPr defaultColWidth="8.7109375" defaultRowHeight="15"/>
  <cols>
    <col min="1" max="1" width="13" customWidth="1"/>
    <col min="2" max="2" width="70" customWidth="1"/>
    <col min="3" max="3" width="34" customWidth="1"/>
  </cols>
  <sheetData>
    <row r="1" spans="1:3">
      <c r="A1" s="7" t="s">
        <v>348</v>
      </c>
      <c r="B1" s="7" t="s">
        <v>349</v>
      </c>
      <c r="C1" s="7" t="s">
        <v>350</v>
      </c>
    </row>
    <row r="2" spans="1:3">
      <c r="A2" s="15">
        <v>2</v>
      </c>
      <c r="B2" s="15" t="s">
        <v>152</v>
      </c>
      <c r="C2" s="15" t="s">
        <v>64</v>
      </c>
    </row>
    <row r="3" spans="1:3" ht="28.5">
      <c r="A3" s="15">
        <v>3</v>
      </c>
      <c r="B3" s="15" t="s">
        <v>158</v>
      </c>
      <c r="C3" s="15" t="s">
        <v>64</v>
      </c>
    </row>
    <row r="4" spans="1:3">
      <c r="A4" s="15">
        <v>4</v>
      </c>
      <c r="B4" s="15" t="s">
        <v>163</v>
      </c>
      <c r="C4" s="15" t="s">
        <v>65</v>
      </c>
    </row>
    <row r="5" spans="1:3">
      <c r="A5" s="15">
        <v>5</v>
      </c>
      <c r="B5" s="15" t="s">
        <v>169</v>
      </c>
      <c r="C5" s="15" t="s">
        <v>64</v>
      </c>
    </row>
    <row r="6" spans="1:3">
      <c r="A6" s="15">
        <v>6</v>
      </c>
      <c r="B6" s="15" t="s">
        <v>175</v>
      </c>
      <c r="C6" s="15" t="s">
        <v>65</v>
      </c>
    </row>
    <row r="7" spans="1:3">
      <c r="A7" s="15">
        <v>7</v>
      </c>
      <c r="B7" s="15" t="s">
        <v>179</v>
      </c>
      <c r="C7" s="15" t="s">
        <v>64</v>
      </c>
    </row>
    <row r="8" spans="1:3">
      <c r="A8" s="15">
        <v>8</v>
      </c>
      <c r="B8" s="15" t="s">
        <v>185</v>
      </c>
      <c r="C8" s="15" t="s">
        <v>64</v>
      </c>
    </row>
    <row r="9" spans="1:3">
      <c r="A9" s="15">
        <v>9</v>
      </c>
      <c r="B9" s="15" t="s">
        <v>190</v>
      </c>
      <c r="C9" s="15" t="s">
        <v>65</v>
      </c>
    </row>
    <row r="10" spans="1:3">
      <c r="A10" s="15">
        <v>11</v>
      </c>
      <c r="B10" s="15" t="s">
        <v>196</v>
      </c>
      <c r="C10" s="15" t="s">
        <v>64</v>
      </c>
    </row>
    <row r="11" spans="1:3" ht="28.5">
      <c r="A11" s="15">
        <v>13</v>
      </c>
      <c r="B11" s="15" t="s">
        <v>204</v>
      </c>
      <c r="C11" s="15" t="s">
        <v>64</v>
      </c>
    </row>
    <row r="12" spans="1:3">
      <c r="A12" s="15">
        <v>14</v>
      </c>
      <c r="B12" s="15" t="s">
        <v>210</v>
      </c>
      <c r="C12" s="15" t="s">
        <v>65</v>
      </c>
    </row>
    <row r="13" spans="1:3" ht="28.5">
      <c r="A13" s="15">
        <v>15</v>
      </c>
      <c r="B13" s="15" t="s">
        <v>214</v>
      </c>
      <c r="C13" s="15" t="s">
        <v>64</v>
      </c>
    </row>
    <row r="14" spans="1:3">
      <c r="A14" s="15">
        <v>16</v>
      </c>
      <c r="B14" s="15" t="s">
        <v>61</v>
      </c>
      <c r="C14" s="15" t="s">
        <v>65</v>
      </c>
    </row>
    <row r="15" spans="1:3">
      <c r="A15" s="15">
        <v>17</v>
      </c>
      <c r="B15" s="15" t="s">
        <v>223</v>
      </c>
      <c r="C15" s="15" t="s">
        <v>65</v>
      </c>
    </row>
    <row r="16" spans="1:3">
      <c r="A16" s="15">
        <v>18</v>
      </c>
      <c r="B16" s="15" t="s">
        <v>228</v>
      </c>
      <c r="C16" s="15" t="s">
        <v>64</v>
      </c>
    </row>
    <row r="17" spans="1:3">
      <c r="A17" s="15">
        <v>19</v>
      </c>
      <c r="B17" s="15" t="s">
        <v>233</v>
      </c>
      <c r="C17" s="15" t="s">
        <v>64</v>
      </c>
    </row>
    <row r="18" spans="1:3">
      <c r="A18" s="15">
        <v>20</v>
      </c>
      <c r="B18" s="15" t="s">
        <v>239</v>
      </c>
      <c r="C18" s="15" t="s">
        <v>65</v>
      </c>
    </row>
    <row r="19" spans="1:3" ht="28.5">
      <c r="A19" s="15">
        <v>22</v>
      </c>
      <c r="B19" s="15" t="s">
        <v>247</v>
      </c>
      <c r="C19" s="15" t="s">
        <v>64</v>
      </c>
    </row>
    <row r="20" spans="1:3">
      <c r="A20" s="15">
        <v>23</v>
      </c>
      <c r="B20" s="15" t="s">
        <v>251</v>
      </c>
      <c r="C20" s="15" t="s">
        <v>65</v>
      </c>
    </row>
    <row r="21" spans="1:3">
      <c r="A21" s="15">
        <v>24</v>
      </c>
      <c r="B21" s="15" t="s">
        <v>257</v>
      </c>
      <c r="C21" s="15" t="s">
        <v>65</v>
      </c>
    </row>
    <row r="22" spans="1:3">
      <c r="A22" s="15">
        <v>25</v>
      </c>
      <c r="B22" s="15" t="s">
        <v>262</v>
      </c>
      <c r="C22" s="15" t="s">
        <v>64</v>
      </c>
    </row>
    <row r="23" spans="1:3">
      <c r="A23" s="15">
        <v>26</v>
      </c>
      <c r="B23" s="15" t="s">
        <v>61</v>
      </c>
      <c r="C23" s="15" t="s">
        <v>65</v>
      </c>
    </row>
    <row r="24" spans="1:3">
      <c r="A24" s="15">
        <v>27</v>
      </c>
      <c r="B24" s="15" t="s">
        <v>269</v>
      </c>
      <c r="C24" s="15" t="s">
        <v>64</v>
      </c>
    </row>
    <row r="25" spans="1:3" ht="28.5">
      <c r="A25" s="15">
        <v>29</v>
      </c>
      <c r="B25" s="15" t="s">
        <v>278</v>
      </c>
      <c r="C25" s="15" t="s">
        <v>64</v>
      </c>
    </row>
    <row r="26" spans="1:3">
      <c r="A26" s="15">
        <v>30</v>
      </c>
      <c r="B26" s="15" t="s">
        <v>283</v>
      </c>
      <c r="C26" s="15" t="s">
        <v>64</v>
      </c>
    </row>
    <row r="27" spans="1:3">
      <c r="A27" s="15">
        <v>31</v>
      </c>
      <c r="B27" s="15" t="s">
        <v>288</v>
      </c>
      <c r="C27" s="15" t="s">
        <v>64</v>
      </c>
    </row>
    <row r="28" spans="1:3">
      <c r="A28" s="15">
        <v>33</v>
      </c>
      <c r="B28" s="15" t="s">
        <v>61</v>
      </c>
      <c r="C28" s="15" t="s">
        <v>65</v>
      </c>
    </row>
    <row r="29" spans="1:3">
      <c r="A29" s="15">
        <v>35</v>
      </c>
      <c r="B29" s="15" t="s">
        <v>300</v>
      </c>
      <c r="C29" s="15" t="s">
        <v>65</v>
      </c>
    </row>
    <row r="30" spans="1:3">
      <c r="A30" s="15">
        <v>36</v>
      </c>
      <c r="B30" s="15" t="s">
        <v>302</v>
      </c>
      <c r="C30" s="15" t="s">
        <v>65</v>
      </c>
    </row>
    <row r="31" spans="1:3">
      <c r="A31" s="15">
        <v>37</v>
      </c>
      <c r="B31" s="15" t="s">
        <v>306</v>
      </c>
      <c r="C31" s="15" t="s">
        <v>64</v>
      </c>
    </row>
    <row r="32" spans="1:3" ht="28.5">
      <c r="A32" s="15">
        <v>38</v>
      </c>
      <c r="B32" s="15" t="s">
        <v>309</v>
      </c>
      <c r="C32" s="15" t="s">
        <v>351</v>
      </c>
    </row>
    <row r="33" spans="1:3">
      <c r="A33" s="15">
        <v>40</v>
      </c>
      <c r="B33" s="15" t="s">
        <v>316</v>
      </c>
      <c r="C33" s="15" t="s">
        <v>64</v>
      </c>
    </row>
    <row r="34" spans="1:3">
      <c r="A34" s="15">
        <v>41</v>
      </c>
      <c r="B34" s="15" t="s">
        <v>320</v>
      </c>
      <c r="C34" s="15" t="s">
        <v>65</v>
      </c>
    </row>
    <row r="35" spans="1:3" ht="28.5">
      <c r="A35" s="15">
        <v>42</v>
      </c>
      <c r="B35" s="15" t="s">
        <v>324</v>
      </c>
      <c r="C35" s="15" t="s">
        <v>64</v>
      </c>
    </row>
    <row r="36" spans="1:3">
      <c r="A36" s="15">
        <v>44</v>
      </c>
      <c r="B36" s="15" t="s">
        <v>329</v>
      </c>
      <c r="C36" s="15" t="s">
        <v>65</v>
      </c>
    </row>
    <row r="37" spans="1:3">
      <c r="A37" s="15">
        <v>45</v>
      </c>
      <c r="B37" s="15" t="s">
        <v>61</v>
      </c>
      <c r="C37" s="15" t="s">
        <v>65</v>
      </c>
    </row>
    <row r="38" spans="1:3">
      <c r="A38" s="15">
        <v>46</v>
      </c>
      <c r="B38" s="15" t="s">
        <v>334</v>
      </c>
      <c r="C38" s="15" t="s">
        <v>64</v>
      </c>
    </row>
    <row r="39" spans="1:3">
      <c r="A39" s="15">
        <v>47</v>
      </c>
      <c r="B39" s="15" t="s">
        <v>336</v>
      </c>
      <c r="C39" s="15" t="s">
        <v>65</v>
      </c>
    </row>
    <row r="40" spans="1:3">
      <c r="A40" s="15">
        <v>48</v>
      </c>
      <c r="B40" s="15" t="s">
        <v>338</v>
      </c>
      <c r="C40" s="15" t="s">
        <v>65</v>
      </c>
    </row>
    <row r="41" spans="1:3" ht="28.5">
      <c r="A41" s="15">
        <v>50</v>
      </c>
      <c r="B41" s="15" t="s">
        <v>344</v>
      </c>
      <c r="C41" s="15" t="s">
        <v>64</v>
      </c>
    </row>
    <row r="42" spans="1:3">
      <c r="A42" s="15">
        <v>51</v>
      </c>
      <c r="B42" s="15" t="s">
        <v>347</v>
      </c>
      <c r="C42" s="15" t="s">
        <v>65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zoomScaleNormal="100" workbookViewId="0"/>
  </sheetViews>
  <sheetFormatPr defaultColWidth="8.7109375" defaultRowHeight="15"/>
  <cols>
    <col min="1" max="1" width="13" customWidth="1"/>
    <col min="2" max="2" width="20" customWidth="1"/>
    <col min="3" max="3" width="18" customWidth="1"/>
    <col min="4" max="4" width="20" customWidth="1"/>
  </cols>
  <sheetData>
    <row r="1" spans="1:4">
      <c r="A1" s="7" t="s">
        <v>348</v>
      </c>
      <c r="B1" s="7" t="s">
        <v>121</v>
      </c>
      <c r="C1" s="7" t="s">
        <v>352</v>
      </c>
      <c r="D1" s="7" t="s">
        <v>353</v>
      </c>
    </row>
    <row r="2" spans="1:4">
      <c r="A2" s="16">
        <v>2</v>
      </c>
      <c r="B2" s="17">
        <v>46298.818344907399</v>
      </c>
      <c r="C2" s="16" t="s">
        <v>19</v>
      </c>
      <c r="D2" s="16">
        <v>21</v>
      </c>
    </row>
    <row r="3" spans="1:4">
      <c r="A3" s="16">
        <v>3</v>
      </c>
      <c r="B3" s="17">
        <v>46298.8354398148</v>
      </c>
      <c r="C3" s="16" t="s">
        <v>19</v>
      </c>
      <c r="D3" s="16">
        <v>20</v>
      </c>
    </row>
    <row r="4" spans="1:4">
      <c r="A4" s="16">
        <v>4</v>
      </c>
      <c r="B4" s="17">
        <v>46298.8378240741</v>
      </c>
      <c r="C4" s="16" t="s">
        <v>20</v>
      </c>
      <c r="D4" s="16">
        <v>31</v>
      </c>
    </row>
    <row r="5" spans="1:4">
      <c r="A5" s="16">
        <v>5</v>
      </c>
      <c r="B5" s="17">
        <v>46298.857534722199</v>
      </c>
      <c r="C5" s="16" t="s">
        <v>19</v>
      </c>
      <c r="D5" s="16">
        <v>22</v>
      </c>
    </row>
    <row r="6" spans="1:4">
      <c r="A6" s="16">
        <v>6</v>
      </c>
      <c r="B6" s="17">
        <v>46298.860416666699</v>
      </c>
      <c r="C6" s="16" t="s">
        <v>19</v>
      </c>
      <c r="D6" s="16">
        <v>24</v>
      </c>
    </row>
    <row r="7" spans="1:4">
      <c r="A7" s="16">
        <v>7</v>
      </c>
      <c r="B7" s="17">
        <v>46298.883229166699</v>
      </c>
      <c r="C7" s="16" t="s">
        <v>20</v>
      </c>
      <c r="D7" s="16">
        <v>27</v>
      </c>
    </row>
    <row r="8" spans="1:4">
      <c r="A8" s="16">
        <v>8</v>
      </c>
      <c r="B8" s="17">
        <v>46298.901400463001</v>
      </c>
      <c r="C8" s="16" t="s">
        <v>19</v>
      </c>
      <c r="D8" s="16">
        <v>18</v>
      </c>
    </row>
    <row r="9" spans="1:4">
      <c r="A9" s="16">
        <v>9</v>
      </c>
      <c r="B9" s="17">
        <v>46298.936539351896</v>
      </c>
      <c r="C9" s="16" t="s">
        <v>21</v>
      </c>
      <c r="D9" s="16">
        <v>41</v>
      </c>
    </row>
    <row r="10" spans="1:4">
      <c r="A10" s="16">
        <v>11</v>
      </c>
      <c r="B10" s="17">
        <v>46299.628194444398</v>
      </c>
      <c r="C10" s="16" t="s">
        <v>19</v>
      </c>
      <c r="D10" s="16">
        <v>19</v>
      </c>
    </row>
    <row r="11" spans="1:4">
      <c r="A11" s="16">
        <v>12</v>
      </c>
      <c r="B11" s="17">
        <v>46299.649988425903</v>
      </c>
      <c r="C11" s="16" t="s">
        <v>19</v>
      </c>
      <c r="D11" s="16">
        <v>23</v>
      </c>
    </row>
    <row r="12" spans="1:4">
      <c r="A12" s="16">
        <v>13</v>
      </c>
      <c r="B12" s="17">
        <v>46299.676759259302</v>
      </c>
      <c r="C12" s="16" t="s">
        <v>20</v>
      </c>
      <c r="D12" s="16">
        <v>30</v>
      </c>
    </row>
    <row r="13" spans="1:4">
      <c r="A13" s="16">
        <v>14</v>
      </c>
      <c r="B13" s="17">
        <v>46299.895613425899</v>
      </c>
      <c r="C13" s="16" t="s">
        <v>19</v>
      </c>
      <c r="D13" s="16">
        <v>19</v>
      </c>
    </row>
    <row r="14" spans="1:4">
      <c r="A14" s="16">
        <v>15</v>
      </c>
      <c r="B14" s="17">
        <v>46299.896527777797</v>
      </c>
      <c r="C14" s="16" t="s">
        <v>19</v>
      </c>
      <c r="D14" s="16">
        <v>21</v>
      </c>
    </row>
    <row r="15" spans="1:4">
      <c r="A15" s="16">
        <v>16</v>
      </c>
      <c r="B15" s="17">
        <v>46299.933379629598</v>
      </c>
      <c r="C15" s="16" t="s">
        <v>20</v>
      </c>
      <c r="D15" s="16">
        <v>28</v>
      </c>
    </row>
    <row r="16" spans="1:4">
      <c r="A16" s="16">
        <v>17</v>
      </c>
      <c r="B16" s="17">
        <v>46299.934097222198</v>
      </c>
      <c r="C16" s="16" t="s">
        <v>19</v>
      </c>
      <c r="D16" s="16">
        <v>23</v>
      </c>
    </row>
    <row r="17" spans="1:4">
      <c r="A17" s="16">
        <v>18</v>
      </c>
      <c r="B17" s="17">
        <v>46299.9397453704</v>
      </c>
      <c r="C17" s="16" t="s">
        <v>19</v>
      </c>
      <c r="D17" s="16">
        <v>18</v>
      </c>
    </row>
    <row r="18" spans="1:4">
      <c r="A18" s="16">
        <v>19</v>
      </c>
      <c r="B18" s="17">
        <v>46299.9481018519</v>
      </c>
      <c r="C18" s="16" t="s">
        <v>22</v>
      </c>
      <c r="D18" s="16">
        <v>46</v>
      </c>
    </row>
    <row r="19" spans="1:4">
      <c r="A19" s="16">
        <v>20</v>
      </c>
      <c r="B19" s="17">
        <v>46299.996331018498</v>
      </c>
      <c r="C19" s="16" t="s">
        <v>19</v>
      </c>
      <c r="D19" s="16">
        <v>23</v>
      </c>
    </row>
    <row r="20" spans="1:4">
      <c r="A20" s="16">
        <v>21</v>
      </c>
      <c r="B20" s="17">
        <v>46300.384710648199</v>
      </c>
      <c r="C20" s="16" t="s">
        <v>20</v>
      </c>
      <c r="D20" s="16">
        <v>33</v>
      </c>
    </row>
    <row r="21" spans="1:4">
      <c r="A21" s="16">
        <v>22</v>
      </c>
      <c r="B21" s="17">
        <v>46300.472916666702</v>
      </c>
      <c r="C21" s="16" t="s">
        <v>19</v>
      </c>
      <c r="D21" s="16">
        <v>20</v>
      </c>
    </row>
    <row r="22" spans="1:4">
      <c r="A22" s="16">
        <v>23</v>
      </c>
      <c r="B22" s="17">
        <v>46300.486250000002</v>
      </c>
      <c r="C22" s="16" t="s">
        <v>19</v>
      </c>
      <c r="D22" s="16">
        <v>18</v>
      </c>
    </row>
    <row r="23" spans="1:4">
      <c r="A23" s="16">
        <v>24</v>
      </c>
      <c r="B23" s="17">
        <v>46300.510937500003</v>
      </c>
      <c r="C23" s="16" t="s">
        <v>20</v>
      </c>
      <c r="D23" s="16">
        <v>26</v>
      </c>
    </row>
    <row r="24" spans="1:4">
      <c r="A24" s="16">
        <v>25</v>
      </c>
      <c r="B24" s="17">
        <v>46300.928715277798</v>
      </c>
      <c r="C24" s="16" t="s">
        <v>19</v>
      </c>
      <c r="D24" s="16">
        <v>19</v>
      </c>
    </row>
    <row r="25" spans="1:4">
      <c r="A25" s="16">
        <v>26</v>
      </c>
      <c r="B25" s="17">
        <v>46300.979444444398</v>
      </c>
      <c r="C25" s="16" t="s">
        <v>19</v>
      </c>
      <c r="D25" s="16">
        <v>22</v>
      </c>
    </row>
    <row r="26" spans="1:4">
      <c r="A26" s="16">
        <v>27</v>
      </c>
      <c r="B26" s="17">
        <v>46301.017662036997</v>
      </c>
      <c r="C26" s="16" t="s">
        <v>21</v>
      </c>
      <c r="D26" s="16">
        <v>38</v>
      </c>
    </row>
    <row r="27" spans="1:4">
      <c r="A27" s="16">
        <v>28</v>
      </c>
      <c r="B27" s="17">
        <v>46301.034016203703</v>
      </c>
      <c r="C27" s="16" t="s">
        <v>19</v>
      </c>
      <c r="D27" s="16">
        <v>22</v>
      </c>
    </row>
    <row r="28" spans="1:4">
      <c r="A28" s="16">
        <v>29</v>
      </c>
      <c r="B28" s="17">
        <v>46301.413784722201</v>
      </c>
      <c r="C28" s="16" t="s">
        <v>19</v>
      </c>
      <c r="D28" s="16">
        <v>19</v>
      </c>
    </row>
    <row r="29" spans="1:4">
      <c r="A29" s="16">
        <v>30</v>
      </c>
      <c r="B29" s="17">
        <v>46301.460752314801</v>
      </c>
      <c r="C29" s="16" t="s">
        <v>21</v>
      </c>
      <c r="D29" s="16">
        <v>39</v>
      </c>
    </row>
    <row r="30" spans="1:4">
      <c r="A30" s="16">
        <v>31</v>
      </c>
      <c r="B30" s="17">
        <v>46301.518206018503</v>
      </c>
      <c r="C30" s="16" t="s">
        <v>19</v>
      </c>
      <c r="D30" s="16">
        <v>20</v>
      </c>
    </row>
    <row r="31" spans="1:4">
      <c r="A31" s="16">
        <v>32</v>
      </c>
      <c r="B31" s="17">
        <v>46301.528749999998</v>
      </c>
      <c r="C31" s="16" t="s">
        <v>19</v>
      </c>
      <c r="D31" s="16">
        <v>19</v>
      </c>
    </row>
    <row r="32" spans="1:4">
      <c r="A32" s="16">
        <v>33</v>
      </c>
      <c r="B32" s="17">
        <v>46301.574178240699</v>
      </c>
      <c r="C32" s="16" t="s">
        <v>20</v>
      </c>
      <c r="D32" s="16">
        <v>29</v>
      </c>
    </row>
    <row r="33" spans="1:4">
      <c r="A33" s="16">
        <v>34</v>
      </c>
      <c r="B33" s="17">
        <v>46301.853148148199</v>
      </c>
      <c r="C33" s="16" t="s">
        <v>23</v>
      </c>
      <c r="D33" s="16">
        <v>61</v>
      </c>
    </row>
    <row r="34" spans="1:4">
      <c r="A34" s="16">
        <v>35</v>
      </c>
      <c r="B34" s="17">
        <v>46301.924803240698</v>
      </c>
      <c r="C34" s="16" t="s">
        <v>19</v>
      </c>
      <c r="D34" s="16">
        <v>23</v>
      </c>
    </row>
    <row r="35" spans="1:4">
      <c r="A35" s="16">
        <v>36</v>
      </c>
      <c r="B35" s="17">
        <v>46302.423067129603</v>
      </c>
      <c r="C35" s="16" t="s">
        <v>20</v>
      </c>
      <c r="D35" s="16">
        <v>27</v>
      </c>
    </row>
    <row r="36" spans="1:4">
      <c r="A36" s="16">
        <v>37</v>
      </c>
      <c r="B36" s="17">
        <v>46302.601319444497</v>
      </c>
      <c r="C36" s="16" t="s">
        <v>19</v>
      </c>
      <c r="D36" s="16">
        <v>22</v>
      </c>
    </row>
    <row r="37" spans="1:4">
      <c r="A37" s="16">
        <v>38</v>
      </c>
      <c r="B37" s="17">
        <v>46302.750567129602</v>
      </c>
      <c r="C37" s="16" t="s">
        <v>20</v>
      </c>
      <c r="D37" s="16">
        <v>28</v>
      </c>
    </row>
    <row r="38" spans="1:4">
      <c r="A38" s="16">
        <v>39</v>
      </c>
      <c r="B38" s="17">
        <v>46302.858402777798</v>
      </c>
      <c r="C38" s="16" t="s">
        <v>21</v>
      </c>
      <c r="D38" s="16">
        <v>36</v>
      </c>
    </row>
    <row r="39" spans="1:4">
      <c r="A39" s="16">
        <v>40</v>
      </c>
      <c r="B39" s="17">
        <v>46302.870347222197</v>
      </c>
      <c r="C39" s="16" t="s">
        <v>19</v>
      </c>
      <c r="D39" s="16">
        <v>18</v>
      </c>
    </row>
    <row r="40" spans="1:4">
      <c r="A40" s="16">
        <v>41</v>
      </c>
      <c r="B40" s="17">
        <v>46302.872233796297</v>
      </c>
      <c r="C40" s="16" t="s">
        <v>19</v>
      </c>
      <c r="D40" s="16">
        <v>23</v>
      </c>
    </row>
    <row r="41" spans="1:4">
      <c r="A41" s="16">
        <v>42</v>
      </c>
      <c r="B41" s="17">
        <v>46303.391238425902</v>
      </c>
      <c r="C41" s="16" t="s">
        <v>21</v>
      </c>
      <c r="D41" s="16">
        <v>35</v>
      </c>
    </row>
    <row r="42" spans="1:4">
      <c r="A42" s="16">
        <v>43</v>
      </c>
      <c r="B42" s="17">
        <v>46303.611284722203</v>
      </c>
      <c r="C42" s="16" t="s">
        <v>19</v>
      </c>
      <c r="D42" s="16">
        <v>19</v>
      </c>
    </row>
    <row r="43" spans="1:4">
      <c r="A43" s="16">
        <v>44</v>
      </c>
      <c r="B43" s="17">
        <v>46303.7528356482</v>
      </c>
      <c r="C43" s="16" t="s">
        <v>19</v>
      </c>
      <c r="D43" s="16">
        <v>20</v>
      </c>
    </row>
    <row r="44" spans="1:4">
      <c r="A44" s="16">
        <v>45</v>
      </c>
      <c r="B44" s="17">
        <v>46303.816759259302</v>
      </c>
      <c r="C44" s="16" t="s">
        <v>20</v>
      </c>
      <c r="D44" s="16">
        <v>29</v>
      </c>
    </row>
    <row r="45" spans="1:4">
      <c r="A45" s="16">
        <v>46</v>
      </c>
      <c r="B45" s="17">
        <v>46303.839317129597</v>
      </c>
      <c r="C45" s="16" t="s">
        <v>19</v>
      </c>
      <c r="D45" s="16">
        <v>24</v>
      </c>
    </row>
    <row r="46" spans="1:4">
      <c r="A46" s="16">
        <v>47</v>
      </c>
      <c r="B46" s="17">
        <v>46304.574768518498</v>
      </c>
      <c r="C46" s="16" t="s">
        <v>22</v>
      </c>
      <c r="D46" s="16">
        <v>52</v>
      </c>
    </row>
    <row r="47" spans="1:4">
      <c r="A47" s="16">
        <v>48</v>
      </c>
      <c r="B47" s="17">
        <v>46304.582106481503</v>
      </c>
      <c r="C47" s="16" t="s">
        <v>19</v>
      </c>
      <c r="D47" s="16">
        <v>24</v>
      </c>
    </row>
    <row r="48" spans="1:4">
      <c r="A48" s="16">
        <v>49</v>
      </c>
      <c r="B48" s="17">
        <v>46304.924768518496</v>
      </c>
      <c r="C48" s="16" t="s">
        <v>19</v>
      </c>
      <c r="D48" s="16">
        <v>23</v>
      </c>
    </row>
    <row r="49" spans="1:4">
      <c r="A49" s="16">
        <v>50</v>
      </c>
      <c r="B49" s="17">
        <v>46304.9276157407</v>
      </c>
      <c r="C49" s="16" t="s">
        <v>20</v>
      </c>
      <c r="D49" s="16">
        <v>32</v>
      </c>
    </row>
    <row r="50" spans="1:4">
      <c r="A50" s="16">
        <v>51</v>
      </c>
      <c r="B50" s="17">
        <v>46304.967164351903</v>
      </c>
      <c r="C50" s="16" t="s">
        <v>19</v>
      </c>
      <c r="D50" s="16">
        <v>18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Responses 1</vt:lpstr>
      <vt:lpstr>Q11 কোডিং</vt:lpstr>
      <vt:lpstr>Simulation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Nafis Mohtasim Ramim</cp:lastModifiedBy>
  <cp:revision>0</cp:revision>
  <dcterms:created xsi:type="dcterms:W3CDTF">2026-10-09T18:40:07Z</dcterms:created>
  <dcterms:modified xsi:type="dcterms:W3CDTF">2026-10-09T18:52:36Z</dcterms:modified>
  <dc:language>en-US</dc:language>
</cp:coreProperties>
</file>